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험물질필요량_전체" sheetId="1" state="visible" r:id="rId3"/>
    <sheet name="반복투여독성_상세" sheetId="2" state="visible" r:id="rId4"/>
    <sheet name="유전독성_대체시험" sheetId="3" state="visible" r:id="rId5"/>
    <sheet name="의료기기_용출조건별" sheetId="4" state="visible" r:id="rId6"/>
  </sheets>
  <definedNames>
    <definedName function="false" hidden="true" localSheetId="0" name="_xlnm._FilterDatabase" vbProcedure="false">시험물질필요량_전체!$A$3:$J$85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<sst xmlns="http://schemas.openxmlformats.org/spreadsheetml/2006/main" count="1080" uniqueCount="458">
  <si>
    <r>
      <rPr>
        <b val="true"/>
        <sz val="13"/>
        <color rgb="FF2F5496"/>
        <rFont val="Noto Sans CJK SC"/>
        <family val="2"/>
      </rPr>
      <t xml:space="preserve">코아스템켐온 시험물질 필요량 데이터베이스 </t>
    </r>
    <r>
      <rPr>
        <b val="true"/>
        <sz val="13"/>
        <color rgb="FF2F5496"/>
        <rFont val="Arial"/>
        <family val="0"/>
        <charset val="1"/>
      </rPr>
      <t xml:space="preserve">(82</t>
    </r>
    <r>
      <rPr>
        <b val="true"/>
        <sz val="13"/>
        <color rgb="FF2F5496"/>
        <rFont val="Noto Sans CJK SC"/>
        <family val="2"/>
      </rPr>
      <t xml:space="preserve">개 시험 항목</t>
    </r>
    <r>
      <rPr>
        <b val="true"/>
        <sz val="13"/>
        <color rgb="FF2F5496"/>
        <rFont val="Arial"/>
        <family val="0"/>
        <charset val="1"/>
      </rPr>
      <t xml:space="preserve">)</t>
    </r>
  </si>
  <si>
    <t xml:space="preserve">No</t>
  </si>
  <si>
    <t xml:space="preserve">ID</t>
  </si>
  <si>
    <t xml:space="preserve">팀</t>
  </si>
  <si>
    <t xml:space="preserve">카테고리</t>
  </si>
  <si>
    <t xml:space="preserve">시험명</t>
  </si>
  <si>
    <t xml:space="preserve">계산유형</t>
  </si>
  <si>
    <t xml:space="preserve">동물종</t>
  </si>
  <si>
    <r>
      <rPr>
        <b val="true"/>
        <sz val="10"/>
        <color rgb="FFFFFFFF"/>
        <rFont val="Noto Sans CJK SC"/>
        <family val="2"/>
      </rPr>
      <t xml:space="preserve">필요량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조건</t>
    </r>
  </si>
  <si>
    <t xml:space="preserve">단위</t>
  </si>
  <si>
    <t xml:space="preserve">비고</t>
  </si>
  <si>
    <t xml:space="preserve">1</t>
  </si>
  <si>
    <t xml:space="preserve">RPT_RAT_2W_DRF</t>
  </si>
  <si>
    <t xml:space="preserve">독성시험팀</t>
  </si>
  <si>
    <t xml:space="preserve">반복투여독성</t>
  </si>
  <si>
    <r>
      <rPr>
        <sz val="9"/>
        <rFont val="Noto Sans CJK SC"/>
        <family val="2"/>
      </rPr>
      <t xml:space="preserve">랫드 반복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DRF</t>
    </r>
  </si>
  <si>
    <t xml:space="preserve">formula</t>
  </si>
  <si>
    <t xml:space="preserve">SD rat</t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</si>
  <si>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10 × 380g × 14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[250, 500, 1000, 2000]</t>
    </r>
  </si>
  <si>
    <r>
      <rPr>
        <sz val="9"/>
        <rFont val="Noto Sans CJK SC"/>
        <family val="2"/>
      </rPr>
      <t xml:space="preserve">용량탐색시험</t>
    </r>
    <r>
      <rPr>
        <sz val="9"/>
        <rFont val="Arial"/>
        <family val="0"/>
        <charset val="1"/>
      </rPr>
      <t xml:space="preserve">(DRF), 4</t>
    </r>
    <r>
      <rPr>
        <sz val="9"/>
        <rFont val="Noto Sans CJK SC"/>
        <family val="2"/>
      </rPr>
      <t xml:space="preserve">주반복 패키지에 포함</t>
    </r>
  </si>
  <si>
    <t xml:space="preserve">2</t>
  </si>
  <si>
    <t xml:space="preserve">RPT_RAT_4W</t>
  </si>
  <si>
    <r>
      <rPr>
        <sz val="9"/>
        <rFont val="Noto Sans CJK SC"/>
        <family val="2"/>
      </rPr>
      <t xml:space="preserve">랫드 반복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회복 포함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</si>
  <si>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[20, 20, 30] × 460g × 28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[500, 1000, 2000]</t>
    </r>
  </si>
  <si>
    <r>
      <rPr>
        <sz val="9"/>
        <rFont val="Noto Sans CJK SC"/>
        <family val="2"/>
      </rPr>
      <t xml:space="preserve">고용량군 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회복군 포함</t>
    </r>
    <r>
      <rPr>
        <sz val="9"/>
        <rFont val="Arial"/>
        <family val="0"/>
        <charset val="1"/>
      </rPr>
      <t xml:space="preserve">)</t>
    </r>
  </si>
  <si>
    <t xml:space="preserve">3</t>
  </si>
  <si>
    <t xml:space="preserve">RPT_RAT_4W_TK</t>
  </si>
  <si>
    <r>
      <rPr>
        <sz val="9"/>
        <rFont val="Noto Sans CJK SC"/>
        <family val="2"/>
      </rPr>
      <t xml:space="preserve">랫드 반복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TK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</si>
  <si>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12 × 460g × 28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[500, 1000, 2000]</t>
    </r>
  </si>
  <si>
    <r>
      <rPr>
        <sz val="9"/>
        <rFont val="Noto Sans CJK SC"/>
        <family val="2"/>
      </rPr>
      <t xml:space="preserve">독성동태</t>
    </r>
    <r>
      <rPr>
        <sz val="9"/>
        <rFont val="Arial"/>
        <family val="0"/>
        <charset val="1"/>
      </rPr>
      <t xml:space="preserve">(TK) </t>
    </r>
    <r>
      <rPr>
        <sz val="9"/>
        <rFont val="Noto Sans CJK SC"/>
        <family val="2"/>
      </rPr>
      <t xml:space="preserve">위성군</t>
    </r>
  </si>
  <si>
    <t xml:space="preserve">4</t>
  </si>
  <si>
    <t xml:space="preserve">RPT_RAT_13W</t>
  </si>
  <si>
    <r>
      <rPr>
        <sz val="9"/>
        <rFont val="Noto Sans CJK SC"/>
        <family val="2"/>
      </rPr>
      <t xml:space="preserve">랫드 반복 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회복 포함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</si>
  <si>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[20, 20, 30] × 460g × 91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[500, 1000, 2000]</t>
    </r>
  </si>
  <si>
    <t xml:space="preserve">5</t>
  </si>
  <si>
    <t xml:space="preserve">RPT_RAT_13W_TK</t>
  </si>
  <si>
    <r>
      <rPr>
        <sz val="9"/>
        <rFont val="Noto Sans CJK SC"/>
        <family val="2"/>
      </rPr>
      <t xml:space="preserve">랫드 반복 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TK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</si>
  <si>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12 × 460g × 91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[500, 1000, 2000]</t>
    </r>
  </si>
  <si>
    <t xml:space="preserve">6</t>
  </si>
  <si>
    <t xml:space="preserve">RPT_RAT_4W_DRF_13</t>
  </si>
  <si>
    <r>
      <rPr>
        <sz val="9"/>
        <rFont val="Noto Sans CJK SC"/>
        <family val="2"/>
      </rPr>
      <t xml:space="preserve">랫드 반복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DRF (13</t>
    </r>
    <r>
      <rPr>
        <sz val="9"/>
        <rFont val="Noto Sans CJK SC"/>
        <family val="2"/>
      </rPr>
      <t xml:space="preserve">주 패키지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</si>
  <si>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10 × 380g × 28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[250, 500, 1000, 2000]</t>
    </r>
  </si>
  <si>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주 패키지용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DRF</t>
    </r>
  </si>
  <si>
    <t xml:space="preserve">7</t>
  </si>
  <si>
    <t xml:space="preserve">RPT_RAT_13W_DRF_26</t>
  </si>
  <si>
    <r>
      <rPr>
        <sz val="9"/>
        <rFont val="Noto Sans CJK SC"/>
        <family val="2"/>
      </rPr>
      <t xml:space="preserve">랫드 반복 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DRF (26</t>
    </r>
    <r>
      <rPr>
        <sz val="9"/>
        <rFont val="Noto Sans CJK SC"/>
        <family val="2"/>
      </rPr>
      <t xml:space="preserve">주 패키지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</si>
  <si>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10 × 380g × 91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[250, 500, 1000, 2000]</t>
    </r>
  </si>
  <si>
    <r>
      <rPr>
        <sz val="9"/>
        <rFont val="Arial"/>
        <family val="0"/>
        <charset val="1"/>
      </rPr>
      <t xml:space="preserve">26</t>
    </r>
    <r>
      <rPr>
        <sz val="9"/>
        <rFont val="Noto Sans CJK SC"/>
        <family val="2"/>
      </rPr>
      <t xml:space="preserve">주 패키지용 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DRF</t>
    </r>
  </si>
  <si>
    <t xml:space="preserve">8</t>
  </si>
  <si>
    <t xml:space="preserve">RPT_RAT_26W</t>
  </si>
  <si>
    <r>
      <rPr>
        <sz val="9"/>
        <rFont val="Noto Sans CJK SC"/>
        <family val="2"/>
      </rPr>
      <t xml:space="preserve">랫드 반복 </t>
    </r>
    <r>
      <rPr>
        <sz val="9"/>
        <rFont val="Arial"/>
        <family val="0"/>
        <charset val="1"/>
      </rPr>
      <t xml:space="preserve">26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회복 포함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</si>
  <si>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[20, 20, 30] × 460g × 182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[500, 1000, 2000]</t>
    </r>
  </si>
  <si>
    <t xml:space="preserve">9</t>
  </si>
  <si>
    <t xml:space="preserve">RPT_RAT_26W_TK</t>
  </si>
  <si>
    <r>
      <rPr>
        <sz val="9"/>
        <rFont val="Noto Sans CJK SC"/>
        <family val="2"/>
      </rPr>
      <t xml:space="preserve">랫드 반복 </t>
    </r>
    <r>
      <rPr>
        <sz val="9"/>
        <rFont val="Arial"/>
        <family val="0"/>
        <charset val="1"/>
      </rPr>
      <t xml:space="preserve">26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TK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</si>
  <si>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12 × 460g × 182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[500, 1000, 2000]</t>
    </r>
  </si>
  <si>
    <t xml:space="preserve">10</t>
  </si>
  <si>
    <t xml:space="preserve">RPT_RAT_CARC</t>
  </si>
  <si>
    <r>
      <rPr>
        <sz val="9"/>
        <rFont val="Noto Sans CJK SC"/>
        <family val="2"/>
      </rPr>
      <t xml:space="preserve">랫드 발암성시험 </t>
    </r>
    <r>
      <rPr>
        <sz val="9"/>
        <rFont val="Arial"/>
        <family val="0"/>
        <charset val="1"/>
      </rPr>
      <t xml:space="preserve">(2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</si>
  <si>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66 × 460g × 728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[500, 1000, 2000]</t>
    </r>
  </si>
  <si>
    <r>
      <rPr>
        <sz val="9"/>
        <rFont val="Arial"/>
        <family val="0"/>
        <charset val="1"/>
      </rPr>
      <t xml:space="preserve">104</t>
    </r>
    <r>
      <rPr>
        <sz val="9"/>
        <rFont val="Noto Sans CJK SC"/>
        <family val="2"/>
      </rPr>
      <t xml:space="preserve">주</t>
    </r>
    <r>
      <rPr>
        <sz val="9"/>
        <rFont val="Arial"/>
        <family val="0"/>
        <charset val="1"/>
      </rPr>
      <t xml:space="preserve">(2</t>
    </r>
    <r>
      <rPr>
        <sz val="9"/>
        <rFont val="Noto Sans CJK SC"/>
        <family val="2"/>
      </rPr>
      <t xml:space="preserve">년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투여</t>
    </r>
    <r>
      <rPr>
        <sz val="9"/>
        <rFont val="Arial"/>
        <family val="0"/>
        <charset val="1"/>
      </rPr>
      <t xml:space="preserve">, 4</t>
    </r>
    <r>
      <rPr>
        <sz val="9"/>
        <rFont val="Noto Sans CJK SC"/>
        <family val="2"/>
      </rPr>
      <t xml:space="preserve">주반복 패키지에 포함</t>
    </r>
  </si>
  <si>
    <t xml:space="preserve">11</t>
  </si>
  <si>
    <t xml:space="preserve">RPT_DOG_2W_DRF</t>
  </si>
  <si>
    <r>
      <rPr>
        <sz val="9"/>
        <rFont val="Noto Sans CJK SC"/>
        <family val="2"/>
      </rPr>
      <t xml:space="preserve">비설치류 반복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DRF</t>
    </r>
  </si>
  <si>
    <t xml:space="preserve">Beagle dog</t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</si>
  <si>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2 × 10000g × 14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[125, 250, 500, 1000]</t>
    </r>
  </si>
  <si>
    <t xml:space="preserve">비설치류 용량탐색시험</t>
  </si>
  <si>
    <t xml:space="preserve">12</t>
  </si>
  <si>
    <t xml:space="preserve">RPT_DOG_4W</t>
  </si>
  <si>
    <r>
      <rPr>
        <sz val="9"/>
        <rFont val="Noto Sans CJK SC"/>
        <family val="2"/>
      </rPr>
      <t xml:space="preserve">비설치류 반복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(TK </t>
    </r>
    <r>
      <rPr>
        <sz val="9"/>
        <rFont val="Noto Sans CJK SC"/>
        <family val="2"/>
      </rPr>
      <t xml:space="preserve">포함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</si>
  <si>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[6, 6, 10] × 11500g × 28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[250, 500, 1000]</t>
    </r>
  </si>
  <si>
    <r>
      <rPr>
        <sz val="9"/>
        <rFont val="Noto Sans CJK SC"/>
        <family val="2"/>
      </rPr>
      <t xml:space="preserve">고용량군 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회복군 포함</t>
    </r>
    <r>
      <rPr>
        <sz val="9"/>
        <rFont val="Arial"/>
        <family val="0"/>
        <charset val="1"/>
      </rPr>
      <t xml:space="preserve">), TK </t>
    </r>
    <r>
      <rPr>
        <sz val="9"/>
        <rFont val="Noto Sans CJK SC"/>
        <family val="2"/>
      </rPr>
      <t xml:space="preserve">포함</t>
    </r>
  </si>
  <si>
    <t xml:space="preserve">13</t>
  </si>
  <si>
    <t xml:space="preserve">RPT_DOG_4W_DRF_13</t>
  </si>
  <si>
    <r>
      <rPr>
        <sz val="9"/>
        <rFont val="Noto Sans CJK SC"/>
        <family val="2"/>
      </rPr>
      <t xml:space="preserve">비설치류 반복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DRF (13</t>
    </r>
    <r>
      <rPr>
        <sz val="9"/>
        <rFont val="Noto Sans CJK SC"/>
        <family val="2"/>
      </rPr>
      <t xml:space="preserve">주 패키지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</si>
  <si>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2 × 10000g × 28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[125, 250, 500, 1000]</t>
    </r>
  </si>
  <si>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주 패키지용 비설치류 </t>
    </r>
    <r>
      <rPr>
        <sz val="9"/>
        <rFont val="Arial"/>
        <family val="0"/>
        <charset val="1"/>
      </rPr>
      <t xml:space="preserve">DRF</t>
    </r>
  </si>
  <si>
    <t xml:space="preserve">14</t>
  </si>
  <si>
    <t xml:space="preserve">RPT_DOG_13W</t>
  </si>
  <si>
    <r>
      <rPr>
        <sz val="9"/>
        <rFont val="Noto Sans CJK SC"/>
        <family val="2"/>
      </rPr>
      <t xml:space="preserve">비설치류 반복 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(TK </t>
    </r>
    <r>
      <rPr>
        <sz val="9"/>
        <rFont val="Noto Sans CJK SC"/>
        <family val="2"/>
      </rPr>
      <t xml:space="preserve">포함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</si>
  <si>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[8, 8, 12] × 11500g × 91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[250, 500, 1000]</t>
    </r>
  </si>
  <si>
    <r>
      <rPr>
        <sz val="9"/>
        <rFont val="Noto Sans CJK SC"/>
        <family val="2"/>
      </rPr>
      <t xml:space="preserve">고용량군 </t>
    </r>
    <r>
      <rPr>
        <sz val="9"/>
        <rFont val="Arial"/>
        <family val="0"/>
        <charset val="1"/>
      </rPr>
      <t xml:space="preserve">12</t>
    </r>
    <r>
      <rPr>
        <sz val="9"/>
        <rFont val="Noto Sans CJK SC"/>
        <family val="2"/>
      </rPr>
      <t xml:space="preserve">마리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회복군 포함</t>
    </r>
    <r>
      <rPr>
        <sz val="9"/>
        <rFont val="Arial"/>
        <family val="0"/>
        <charset val="1"/>
      </rPr>
      <t xml:space="preserve">), TK </t>
    </r>
    <r>
      <rPr>
        <sz val="9"/>
        <rFont val="Noto Sans CJK SC"/>
        <family val="2"/>
      </rPr>
      <t xml:space="preserve">포함</t>
    </r>
  </si>
  <si>
    <t xml:space="preserve">15</t>
  </si>
  <si>
    <t xml:space="preserve">RPT_DOG_13W_DRF_39</t>
  </si>
  <si>
    <r>
      <rPr>
        <sz val="9"/>
        <rFont val="Noto Sans CJK SC"/>
        <family val="2"/>
      </rPr>
      <t xml:space="preserve">비설치류 반복 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DRF (39</t>
    </r>
    <r>
      <rPr>
        <sz val="9"/>
        <rFont val="Noto Sans CJK SC"/>
        <family val="2"/>
      </rPr>
      <t xml:space="preserve">주 패키지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</si>
  <si>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2 × 10000g × 91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[125, 250, 500, 1000]</t>
    </r>
  </si>
  <si>
    <r>
      <rPr>
        <sz val="9"/>
        <rFont val="Arial"/>
        <family val="0"/>
        <charset val="1"/>
      </rPr>
      <t xml:space="preserve">39</t>
    </r>
    <r>
      <rPr>
        <sz val="9"/>
        <rFont val="Noto Sans CJK SC"/>
        <family val="2"/>
      </rPr>
      <t xml:space="preserve">주 패키지용 비설치류 </t>
    </r>
    <r>
      <rPr>
        <sz val="9"/>
        <rFont val="Arial"/>
        <family val="0"/>
        <charset val="1"/>
      </rPr>
      <t xml:space="preserve">DRF</t>
    </r>
  </si>
  <si>
    <t xml:space="preserve">16</t>
  </si>
  <si>
    <t xml:space="preserve">RPT_DOG_39W</t>
  </si>
  <si>
    <r>
      <rPr>
        <sz val="9"/>
        <rFont val="Noto Sans CJK SC"/>
        <family val="2"/>
      </rPr>
      <t xml:space="preserve">비설치류 반복 </t>
    </r>
    <r>
      <rPr>
        <sz val="9"/>
        <rFont val="Arial"/>
        <family val="0"/>
        <charset val="1"/>
      </rPr>
      <t xml:space="preserve">39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(TK </t>
    </r>
    <r>
      <rPr>
        <sz val="9"/>
        <rFont val="Noto Sans CJK SC"/>
        <family val="2"/>
      </rPr>
      <t xml:space="preserve">포함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</si>
  <si>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39</t>
    </r>
    <r>
      <rPr>
        <sz val="9"/>
        <rFont val="Noto Sans CJK SC"/>
        <family val="2"/>
      </rPr>
      <t xml:space="preserve">주 패키지</t>
    </r>
    <r>
      <rPr>
        <sz val="9"/>
        <rFont val="Arial"/>
        <family val="0"/>
        <charset val="1"/>
      </rPr>
      <t xml:space="preserve">, TK </t>
    </r>
    <r>
      <rPr>
        <sz val="9"/>
        <rFont val="Noto Sans CJK SC"/>
        <family val="2"/>
      </rPr>
      <t xml:space="preserve">포함</t>
    </r>
  </si>
  <si>
    <t xml:space="preserve">17</t>
  </si>
  <si>
    <t xml:space="preserve">REPRO_FERT_M</t>
  </si>
  <si>
    <t xml:space="preserve">생식독성</t>
  </si>
  <si>
    <r>
      <rPr>
        <sz val="9"/>
        <rFont val="Noto Sans CJK SC"/>
        <family val="2"/>
      </rPr>
      <t xml:space="preserve">수태능력시험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수컷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</si>
  <si>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25 × 350g × 28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[100, 300, 1000]</t>
    </r>
  </si>
  <si>
    <t xml:space="preserve">18</t>
  </si>
  <si>
    <t xml:space="preserve">REPRO_FERT_F</t>
  </si>
  <si>
    <r>
      <rPr>
        <sz val="9"/>
        <rFont val="Noto Sans CJK SC"/>
        <family val="2"/>
      </rPr>
      <t xml:space="preserve">수태능력시험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암컷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</si>
  <si>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25 × 300g × 21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[100, 300, 1000]</t>
    </r>
  </si>
  <si>
    <t xml:space="preserve">19</t>
  </si>
  <si>
    <t xml:space="preserve">REPRO_PPND</t>
  </si>
  <si>
    <r>
      <rPr>
        <sz val="9"/>
        <rFont val="Noto Sans CJK SC"/>
        <family val="2"/>
      </rPr>
      <t xml:space="preserve">출생전후 발생독성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모체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</si>
  <si>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25 × 350g × 25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[100, 300, 1000]</t>
    </r>
  </si>
  <si>
    <t xml:space="preserve">20</t>
  </si>
  <si>
    <t xml:space="preserve">REPRO_EFD_RAT_PRE</t>
  </si>
  <si>
    <r>
      <rPr>
        <sz val="9"/>
        <rFont val="Noto Sans CJK SC"/>
        <family val="2"/>
      </rPr>
      <t xml:space="preserve">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태자 발생독성 </t>
    </r>
    <r>
      <rPr>
        <sz val="9"/>
        <rFont val="Arial"/>
        <family val="0"/>
        <charset val="1"/>
      </rPr>
      <t xml:space="preserve">- </t>
    </r>
    <r>
      <rPr>
        <sz val="9"/>
        <rFont val="Noto Sans CJK SC"/>
        <family val="2"/>
      </rPr>
      <t xml:space="preserve">설치류 예비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</si>
  <si>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5 × 330g × 13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[75, 125, 250, 500, 1000]</t>
    </r>
  </si>
  <si>
    <t xml:space="preserve">21</t>
  </si>
  <si>
    <t xml:space="preserve">REPRO_EFD_RAT</t>
  </si>
  <si>
    <r>
      <rPr>
        <sz val="9"/>
        <rFont val="Noto Sans CJK SC"/>
        <family val="2"/>
      </rPr>
      <t xml:space="preserve">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태자 발생독성 </t>
    </r>
    <r>
      <rPr>
        <sz val="9"/>
        <rFont val="Arial"/>
        <family val="0"/>
        <charset val="1"/>
      </rPr>
      <t xml:space="preserve">- </t>
    </r>
    <r>
      <rPr>
        <sz val="9"/>
        <rFont val="Noto Sans CJK SC"/>
        <family val="2"/>
      </rPr>
      <t xml:space="preserve">설치류 본시험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</si>
  <si>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25 × 330g × 13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[100, 300, 1000]</t>
    </r>
  </si>
  <si>
    <t xml:space="preserve">22</t>
  </si>
  <si>
    <t xml:space="preserve">REPRO_EFD_RBT_PRE</t>
  </si>
  <si>
    <r>
      <rPr>
        <sz val="9"/>
        <rFont val="Noto Sans CJK SC"/>
        <family val="2"/>
      </rPr>
      <t xml:space="preserve">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태자 발생독성 </t>
    </r>
    <r>
      <rPr>
        <sz val="9"/>
        <rFont val="Arial"/>
        <family val="0"/>
        <charset val="1"/>
      </rPr>
      <t xml:space="preserve">- </t>
    </r>
    <r>
      <rPr>
        <sz val="9"/>
        <rFont val="Noto Sans CJK SC"/>
        <family val="2"/>
      </rPr>
      <t xml:space="preserve">토끼 예비</t>
    </r>
  </si>
  <si>
    <t xml:space="preserve">NZW rabbit</t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</si>
  <si>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5 × 3500g × 13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[75, 125, 250, 500, 1000]</t>
    </r>
  </si>
  <si>
    <t xml:space="preserve">23</t>
  </si>
  <si>
    <t xml:space="preserve">REPRO_EFD_RBT</t>
  </si>
  <si>
    <r>
      <rPr>
        <sz val="9"/>
        <rFont val="Noto Sans CJK SC"/>
        <family val="2"/>
      </rPr>
      <t xml:space="preserve">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태자 발생독성 </t>
    </r>
    <r>
      <rPr>
        <sz val="9"/>
        <rFont val="Arial"/>
        <family val="0"/>
        <charset val="1"/>
      </rPr>
      <t xml:space="preserve">- </t>
    </r>
    <r>
      <rPr>
        <sz val="9"/>
        <rFont val="Noto Sans CJK SC"/>
        <family val="2"/>
      </rPr>
      <t xml:space="preserve">토끼 본시험</t>
    </r>
  </si>
  <si>
    <r>
      <rPr>
        <sz val="9"/>
        <rFont val="Noto Sans CJK SC"/>
        <family val="2"/>
      </rPr>
      <t xml:space="preserve">동물</t>
    </r>
    <r>
      <rPr>
        <sz val="9"/>
        <rFont val="Arial"/>
        <family val="0"/>
        <charset val="1"/>
      </rPr>
      <t xml:space="preserve">25 × 3500g × 13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× [100, 300, 1000]</t>
    </r>
  </si>
  <si>
    <t xml:space="preserve">24</t>
  </si>
  <si>
    <t xml:space="preserve">TOX_SAFETY_PHARM</t>
  </si>
  <si>
    <t xml:space="preserve">안전성약리</t>
  </si>
  <si>
    <r>
      <rPr>
        <sz val="9"/>
        <rFont val="Noto Sans CJK SC"/>
        <family val="2"/>
      </rPr>
      <t xml:space="preserve">안전성약리 </t>
    </r>
    <r>
      <rPr>
        <sz val="9"/>
        <rFont val="Arial"/>
        <family val="0"/>
        <charset val="1"/>
      </rPr>
      <t xml:space="preserve">(hERG, Irwin, </t>
    </r>
    <r>
      <rPr>
        <sz val="9"/>
        <rFont val="Noto Sans CJK SC"/>
        <family val="2"/>
      </rPr>
      <t xml:space="preserve">호흡기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심혈관</t>
    </r>
    <r>
      <rPr>
        <sz val="9"/>
        <rFont val="Arial"/>
        <family val="0"/>
        <charset val="1"/>
      </rPr>
      <t xml:space="preserve">)</t>
    </r>
  </si>
  <si>
    <t xml:space="preserve">fixed</t>
  </si>
  <si>
    <t xml:space="preserve">120</t>
  </si>
  <si>
    <t xml:space="preserve">고정량</t>
  </si>
  <si>
    <t xml:space="preserve">25</t>
  </si>
  <si>
    <t xml:space="preserve">TOX_FORMULATION</t>
  </si>
  <si>
    <t xml:space="preserve">조제균질성</t>
  </si>
  <si>
    <r>
      <rPr>
        <sz val="9"/>
        <rFont val="Noto Sans CJK SC"/>
        <family val="2"/>
      </rPr>
      <t xml:space="preserve">조제균질성 </t>
    </r>
    <r>
      <rPr>
        <sz val="9"/>
        <rFont val="Arial"/>
        <family val="0"/>
        <charset val="1"/>
      </rPr>
      <t xml:space="preserve">(4</t>
    </r>
    <r>
      <rPr>
        <sz val="9"/>
        <rFont val="Noto Sans CJK SC"/>
        <family val="2"/>
      </rPr>
      <t xml:space="preserve">주 패키지</t>
    </r>
    <r>
      <rPr>
        <sz val="9"/>
        <rFont val="Arial"/>
        <family val="0"/>
        <charset val="1"/>
      </rPr>
      <t xml:space="preserve">)</t>
    </r>
  </si>
  <si>
    <t xml:space="preserve">44</t>
  </si>
  <si>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주반복 패키지 기준</t>
    </r>
  </si>
  <si>
    <t xml:space="preserve">26</t>
  </si>
  <si>
    <t xml:space="preserve">TOX_FORMULATION_REPRO</t>
  </si>
  <si>
    <r>
      <rPr>
        <sz val="9"/>
        <rFont val="Noto Sans CJK SC"/>
        <family val="2"/>
      </rPr>
      <t xml:space="preserve">조제균질성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생식독성</t>
    </r>
    <r>
      <rPr>
        <sz val="9"/>
        <rFont val="Arial"/>
        <family val="0"/>
        <charset val="1"/>
      </rPr>
      <t xml:space="preserve">)</t>
    </r>
  </si>
  <si>
    <t xml:space="preserve">30</t>
  </si>
  <si>
    <t xml:space="preserve">생식독성 패키지 기준</t>
  </si>
  <si>
    <t xml:space="preserve">27</t>
  </si>
  <si>
    <t xml:space="preserve">GENO_AMES</t>
  </si>
  <si>
    <t xml:space="preserve">유전독성팀</t>
  </si>
  <si>
    <t xml:space="preserve">유전독성</t>
  </si>
  <si>
    <r>
      <rPr>
        <sz val="9"/>
        <rFont val="Noto Sans CJK SC"/>
        <family val="2"/>
      </rPr>
      <t xml:space="preserve">복귀돌연변이시험</t>
    </r>
    <r>
      <rPr>
        <sz val="9"/>
        <rFont val="Arial"/>
        <family val="0"/>
        <charset val="1"/>
      </rPr>
      <t xml:space="preserve">(Ames)</t>
    </r>
  </si>
  <si>
    <t xml:space="preserve">fixed_by_guideline</t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</si>
  <si>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4g</t>
    </r>
  </si>
  <si>
    <t xml:space="preserve">g</t>
  </si>
  <si>
    <r>
      <rPr>
        <sz val="9"/>
        <rFont val="Noto Sans CJK SC"/>
        <family val="2"/>
      </rPr>
      <t xml:space="preserve">여분 약 </t>
    </r>
    <r>
      <rPr>
        <sz val="9"/>
        <rFont val="Arial"/>
        <family val="0"/>
        <charset val="1"/>
      </rPr>
      <t xml:space="preserve">5g </t>
    </r>
    <r>
      <rPr>
        <sz val="9"/>
        <rFont val="Noto Sans CJK SC"/>
        <family val="2"/>
      </rPr>
      <t xml:space="preserve">추가 권장</t>
    </r>
  </si>
  <si>
    <t xml:space="preserve">28</t>
  </si>
  <si>
    <t xml:space="preserve">GENO_CA</t>
  </si>
  <si>
    <t xml:space="preserve">염색체이상시험</t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</si>
  <si>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3g</t>
    </r>
  </si>
  <si>
    <t xml:space="preserve">29</t>
  </si>
  <si>
    <t xml:space="preserve">GENO_MN_MOUSE</t>
  </si>
  <si>
    <r>
      <rPr>
        <sz val="9"/>
        <rFont val="Noto Sans CJK SC"/>
        <family val="2"/>
      </rPr>
      <t xml:space="preserve">소핵시험 </t>
    </r>
    <r>
      <rPr>
        <sz val="9"/>
        <rFont val="Arial"/>
        <family val="0"/>
        <charset val="1"/>
      </rPr>
      <t xml:space="preserve">(Mouse, 2</t>
    </r>
    <r>
      <rPr>
        <sz val="9"/>
        <rFont val="Noto Sans CJK SC"/>
        <family val="2"/>
      </rPr>
      <t xml:space="preserve">일 투여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</si>
  <si>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7g</t>
    </r>
  </si>
  <si>
    <t xml:space="preserve">GENO_MN_RAT</t>
  </si>
  <si>
    <r>
      <rPr>
        <sz val="9"/>
        <rFont val="Noto Sans CJK SC"/>
        <family val="2"/>
      </rPr>
      <t xml:space="preserve">소핵시험 </t>
    </r>
    <r>
      <rPr>
        <sz val="9"/>
        <rFont val="Arial"/>
        <family val="0"/>
        <charset val="1"/>
      </rPr>
      <t xml:space="preserve">(Rat, 2</t>
    </r>
    <r>
      <rPr>
        <sz val="9"/>
        <rFont val="Noto Sans CJK SC"/>
        <family val="2"/>
      </rPr>
      <t xml:space="preserve">일 투여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</si>
  <si>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40g</t>
    </r>
  </si>
  <si>
    <t xml:space="preserve">31</t>
  </si>
  <si>
    <t xml:space="preserve">GENO_COMET_RAT</t>
  </si>
  <si>
    <r>
      <rPr>
        <sz val="9"/>
        <rFont val="Noto Sans CJK SC"/>
        <family val="2"/>
      </rPr>
      <t xml:space="preserve">코멧시험 </t>
    </r>
    <r>
      <rPr>
        <sz val="9"/>
        <rFont val="Arial"/>
        <family val="0"/>
        <charset val="1"/>
      </rPr>
      <t xml:space="preserve">(Rat, 3</t>
    </r>
    <r>
      <rPr>
        <sz val="9"/>
        <rFont val="Noto Sans CJK SC"/>
        <family val="2"/>
      </rPr>
      <t xml:space="preserve">일 투여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</si>
  <si>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60g</t>
    </r>
  </si>
  <si>
    <t xml:space="preserve">32</t>
  </si>
  <si>
    <t xml:space="preserve">ALT_AMES_GLP</t>
  </si>
  <si>
    <t xml:space="preserve">대체시험센터</t>
  </si>
  <si>
    <r>
      <rPr>
        <sz val="9"/>
        <rFont val="Noto Sans CJK SC"/>
        <family val="2"/>
      </rPr>
      <t xml:space="preserve">복귀돌연변이시험 </t>
    </r>
    <r>
      <rPr>
        <sz val="9"/>
        <rFont val="Arial"/>
        <family val="0"/>
        <charset val="1"/>
      </rPr>
      <t xml:space="preserve">(GLP)</t>
    </r>
  </si>
  <si>
    <t xml:space="preserve">fixed_by_product_type</t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</si>
  <si>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2.0,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2.0</t>
    </r>
  </si>
  <si>
    <t xml:space="preserve">함량 없음 기준</t>
  </si>
  <si>
    <t xml:space="preserve">33</t>
  </si>
  <si>
    <t xml:space="preserve">ALT_AMES_GLP_EAT</t>
  </si>
  <si>
    <r>
      <rPr>
        <sz val="9"/>
        <rFont val="Noto Sans CJK SC"/>
        <family val="2"/>
      </rPr>
      <t xml:space="preserve">복귀돌연변이시험 </t>
    </r>
    <r>
      <rPr>
        <sz val="9"/>
        <rFont val="Arial"/>
        <family val="0"/>
        <charset val="1"/>
      </rPr>
      <t xml:space="preserve">(GLP, EAT)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</si>
  <si>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2.0</t>
    </r>
  </si>
  <si>
    <t xml:space="preserve">예비시험 없음</t>
  </si>
  <si>
    <t xml:space="preserve">34</t>
  </si>
  <si>
    <t xml:space="preserve">ALT_AMES_NGLP_2</t>
  </si>
  <si>
    <r>
      <rPr>
        <sz val="9"/>
        <rFont val="Noto Sans CJK SC"/>
        <family val="2"/>
      </rPr>
      <t xml:space="preserve">복귀돌연변이시험 </t>
    </r>
    <r>
      <rPr>
        <sz val="9"/>
        <rFont val="Arial"/>
        <family val="0"/>
        <charset val="1"/>
      </rPr>
      <t xml:space="preserve">(NGLP, 2</t>
    </r>
    <r>
      <rPr>
        <sz val="9"/>
        <rFont val="Noto Sans CJK SC"/>
        <family val="2"/>
      </rPr>
      <t xml:space="preserve">균주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</si>
  <si>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0.3</t>
    </r>
  </si>
  <si>
    <t xml:space="preserve">35</t>
  </si>
  <si>
    <t xml:space="preserve">ALT_AMES_NGLP_5</t>
  </si>
  <si>
    <r>
      <rPr>
        <sz val="9"/>
        <rFont val="Noto Sans CJK SC"/>
        <family val="2"/>
      </rPr>
      <t xml:space="preserve">복귀돌연변이시험 </t>
    </r>
    <r>
      <rPr>
        <sz val="9"/>
        <rFont val="Arial"/>
        <family val="0"/>
        <charset val="1"/>
      </rPr>
      <t xml:space="preserve">(NGLP, 5</t>
    </r>
    <r>
      <rPr>
        <sz val="9"/>
        <rFont val="Noto Sans CJK SC"/>
        <family val="2"/>
      </rPr>
      <t xml:space="preserve">균주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</si>
  <si>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0.5</t>
    </r>
  </si>
  <si>
    <t xml:space="preserve">36</t>
  </si>
  <si>
    <t xml:space="preserve">ALT_CA_GLP</t>
  </si>
  <si>
    <r>
      <rPr>
        <sz val="9"/>
        <rFont val="Noto Sans CJK SC"/>
        <family val="2"/>
      </rPr>
      <t xml:space="preserve">염색체이상시험 </t>
    </r>
    <r>
      <rPr>
        <sz val="9"/>
        <rFont val="Arial"/>
        <family val="0"/>
        <charset val="1"/>
      </rPr>
      <t xml:space="preserve">(GLP)</t>
    </r>
  </si>
  <si>
    <t xml:space="preserve">37</t>
  </si>
  <si>
    <t xml:space="preserve">ALT_CA_NGLP</t>
  </si>
  <si>
    <r>
      <rPr>
        <sz val="9"/>
        <rFont val="Noto Sans CJK SC"/>
        <family val="2"/>
      </rPr>
      <t xml:space="preserve">염색체이상시험 </t>
    </r>
    <r>
      <rPr>
        <sz val="9"/>
        <rFont val="Arial"/>
        <family val="0"/>
        <charset val="1"/>
      </rPr>
      <t xml:space="preserve">(NGLP)</t>
    </r>
  </si>
  <si>
    <t xml:space="preserve">38</t>
  </si>
  <si>
    <t xml:space="preserve">ALT_MN_RAT_GLP</t>
  </si>
  <si>
    <r>
      <rPr>
        <sz val="9"/>
        <rFont val="Noto Sans CJK SC"/>
        <family val="2"/>
      </rPr>
      <t xml:space="preserve">체내 소핵시험 </t>
    </r>
    <r>
      <rPr>
        <sz val="9"/>
        <rFont val="Arial"/>
        <family val="0"/>
        <charset val="1"/>
      </rPr>
      <t xml:space="preserve">(GLP, </t>
    </r>
    <r>
      <rPr>
        <sz val="9"/>
        <rFont val="Noto Sans CJK SC"/>
        <family val="2"/>
      </rPr>
      <t xml:space="preserve">랫드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</si>
  <si>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35.0,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85.0</t>
    </r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</si>
  <si>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일 투여</t>
    </r>
  </si>
  <si>
    <t xml:space="preserve">39</t>
  </si>
  <si>
    <t xml:space="preserve">ALT_MN_RAT_GLP_CONTENT</t>
  </si>
  <si>
    <r>
      <rPr>
        <sz val="9"/>
        <rFont val="Noto Sans CJK SC"/>
        <family val="2"/>
      </rPr>
      <t xml:space="preserve">체내 소핵시험 </t>
    </r>
    <r>
      <rPr>
        <sz val="9"/>
        <rFont val="Arial"/>
        <family val="0"/>
        <charset val="1"/>
      </rPr>
      <t xml:space="preserve">(GLP, </t>
    </r>
    <r>
      <rPr>
        <sz val="9"/>
        <rFont val="Noto Sans CJK SC"/>
        <family val="2"/>
      </rPr>
      <t xml:space="preserve">랫드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함량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</si>
  <si>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40.0,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90.0</t>
    </r>
  </si>
  <si>
    <t xml:space="preserve">40</t>
  </si>
  <si>
    <t xml:space="preserve">ALT_MN_MOUSE_GLP</t>
  </si>
  <si>
    <r>
      <rPr>
        <sz val="9"/>
        <rFont val="Noto Sans CJK SC"/>
        <family val="2"/>
      </rPr>
      <t xml:space="preserve">체내 소핵시험 </t>
    </r>
    <r>
      <rPr>
        <sz val="9"/>
        <rFont val="Arial"/>
        <family val="0"/>
        <charset val="1"/>
      </rPr>
      <t xml:space="preserve">(GLP, </t>
    </r>
    <r>
      <rPr>
        <sz val="9"/>
        <rFont val="Noto Sans CJK SC"/>
        <family val="2"/>
      </rPr>
      <t xml:space="preserve">마우스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</si>
  <si>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5.0,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10.0</t>
    </r>
  </si>
  <si>
    <t xml:space="preserve">41</t>
  </si>
  <si>
    <t xml:space="preserve">ALT_MN_MOUSE_GLP_CONTENT</t>
  </si>
  <si>
    <r>
      <rPr>
        <sz val="9"/>
        <rFont val="Noto Sans CJK SC"/>
        <family val="2"/>
      </rPr>
      <t xml:space="preserve">체내 소핵시험 </t>
    </r>
    <r>
      <rPr>
        <sz val="9"/>
        <rFont val="Arial"/>
        <family val="0"/>
        <charset val="1"/>
      </rPr>
      <t xml:space="preserve">(GLP, </t>
    </r>
    <r>
      <rPr>
        <sz val="9"/>
        <rFont val="Noto Sans CJK SC"/>
        <family val="2"/>
      </rPr>
      <t xml:space="preserve">마우스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함량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</si>
  <si>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7.0,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12.0</t>
    </r>
  </si>
  <si>
    <t xml:space="preserve">42</t>
  </si>
  <si>
    <t xml:space="preserve">ALT_MN_RAT_NGLP</t>
  </si>
  <si>
    <r>
      <rPr>
        <sz val="9"/>
        <rFont val="Noto Sans CJK SC"/>
        <family val="2"/>
      </rPr>
      <t xml:space="preserve">체내 소핵시험 </t>
    </r>
    <r>
      <rPr>
        <sz val="9"/>
        <rFont val="Arial"/>
        <family val="0"/>
        <charset val="1"/>
      </rPr>
      <t xml:space="preserve">(NGLP, </t>
    </r>
    <r>
      <rPr>
        <sz val="9"/>
        <rFont val="Noto Sans CJK SC"/>
        <family val="2"/>
      </rPr>
      <t xml:space="preserve">랫드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</si>
  <si>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15.0,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30.0</t>
    </r>
  </si>
  <si>
    <t xml:space="preserve">용량 의뢰자 결정 필수</t>
  </si>
  <si>
    <t xml:space="preserve">43</t>
  </si>
  <si>
    <t xml:space="preserve">ALT_MN_MOUSE_NGLP</t>
  </si>
  <si>
    <r>
      <rPr>
        <sz val="9"/>
        <rFont val="Noto Sans CJK SC"/>
        <family val="2"/>
      </rPr>
      <t xml:space="preserve">체내 소핵시험 </t>
    </r>
    <r>
      <rPr>
        <sz val="9"/>
        <rFont val="Arial"/>
        <family val="0"/>
        <charset val="1"/>
      </rPr>
      <t xml:space="preserve">(NGLP, </t>
    </r>
    <r>
      <rPr>
        <sz val="9"/>
        <rFont val="Noto Sans CJK SC"/>
        <family val="2"/>
      </rPr>
      <t xml:space="preserve">마우스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</si>
  <si>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3.0,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7.0</t>
    </r>
  </si>
  <si>
    <t xml:space="preserve">ALT_MN_INVITRO_GLP</t>
  </si>
  <si>
    <r>
      <rPr>
        <sz val="9"/>
        <rFont val="Noto Sans CJK SC"/>
        <family val="2"/>
      </rPr>
      <t xml:space="preserve">체외 소핵시험 </t>
    </r>
    <r>
      <rPr>
        <sz val="9"/>
        <rFont val="Arial"/>
        <family val="0"/>
        <charset val="1"/>
      </rPr>
      <t xml:space="preserve">(GLP)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</si>
  <si>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4.0</t>
    </r>
  </si>
  <si>
    <t xml:space="preserve">45</t>
  </si>
  <si>
    <t xml:space="preserve">ALT_MN_INVITRO_NGLP</t>
  </si>
  <si>
    <r>
      <rPr>
        <sz val="9"/>
        <rFont val="Noto Sans CJK SC"/>
        <family val="2"/>
      </rPr>
      <t xml:space="preserve">체외 소핵시험 </t>
    </r>
    <r>
      <rPr>
        <sz val="9"/>
        <rFont val="Arial"/>
        <family val="0"/>
        <charset val="1"/>
      </rPr>
      <t xml:space="preserve">(NGLP)</t>
    </r>
  </si>
  <si>
    <r>
      <rPr>
        <sz val="9"/>
        <rFont val="Arial"/>
        <family val="0"/>
        <charset val="1"/>
      </rPr>
      <t xml:space="preserve">Series</t>
    </r>
    <r>
      <rPr>
        <sz val="9"/>
        <rFont val="Noto Sans CJK SC"/>
        <family val="2"/>
      </rPr>
      <t xml:space="preserve">에 따라 변동</t>
    </r>
  </si>
  <si>
    <t xml:space="preserve">46</t>
  </si>
  <si>
    <t xml:space="preserve">ALT_MLA_GLP</t>
  </si>
  <si>
    <r>
      <rPr>
        <sz val="9"/>
        <rFont val="Noto Sans CJK SC"/>
        <family val="2"/>
      </rPr>
      <t xml:space="preserve">유전자돌연변이 시험 </t>
    </r>
    <r>
      <rPr>
        <sz val="9"/>
        <rFont val="Arial"/>
        <family val="0"/>
        <charset val="1"/>
      </rPr>
      <t xml:space="preserve">MLA (GLP)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</si>
  <si>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3.0,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3.0</t>
    </r>
  </si>
  <si>
    <t xml:space="preserve">47</t>
  </si>
  <si>
    <t xml:space="preserve">ALT_COMET_RAT_GLP</t>
  </si>
  <si>
    <r>
      <rPr>
        <sz val="9"/>
        <rFont val="Noto Sans CJK SC"/>
        <family val="2"/>
      </rPr>
      <t xml:space="preserve">체내 코멧시험 </t>
    </r>
    <r>
      <rPr>
        <sz val="9"/>
        <rFont val="Arial"/>
        <family val="0"/>
        <charset val="1"/>
      </rPr>
      <t xml:space="preserve">(GLP, </t>
    </r>
    <r>
      <rPr>
        <sz val="9"/>
        <rFont val="Noto Sans CJK SC"/>
        <family val="2"/>
      </rPr>
      <t xml:space="preserve">랫드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</si>
  <si>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55.0,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130.0</t>
    </r>
  </si>
  <si>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일 투여</t>
    </r>
  </si>
  <si>
    <t xml:space="preserve">48</t>
  </si>
  <si>
    <t xml:space="preserve">ALT_COMET_RAT_GLP_CONTENT</t>
  </si>
  <si>
    <r>
      <rPr>
        <sz val="9"/>
        <rFont val="Noto Sans CJK SC"/>
        <family val="2"/>
      </rPr>
      <t xml:space="preserve">체내 코멧시험 </t>
    </r>
    <r>
      <rPr>
        <sz val="9"/>
        <rFont val="Arial"/>
        <family val="0"/>
        <charset val="1"/>
      </rPr>
      <t xml:space="preserve">(GLP, </t>
    </r>
    <r>
      <rPr>
        <sz val="9"/>
        <rFont val="Noto Sans CJK SC"/>
        <family val="2"/>
      </rPr>
      <t xml:space="preserve">랫드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함량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</si>
  <si>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60.0,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135.0</t>
    </r>
  </si>
  <si>
    <t xml:space="preserve">49</t>
  </si>
  <si>
    <t xml:space="preserve">ALT_PIGA_RAT_GLP</t>
  </si>
  <si>
    <r>
      <rPr>
        <sz val="9"/>
        <rFont val="Noto Sans CJK SC"/>
        <family val="2"/>
      </rPr>
      <t xml:space="preserve">체내 </t>
    </r>
    <r>
      <rPr>
        <sz val="9"/>
        <rFont val="Arial"/>
        <family val="0"/>
        <charset val="1"/>
      </rPr>
      <t xml:space="preserve">Pig-a </t>
    </r>
    <r>
      <rPr>
        <sz val="9"/>
        <rFont val="Noto Sans CJK SC"/>
        <family val="2"/>
      </rPr>
      <t xml:space="preserve">시험 </t>
    </r>
    <r>
      <rPr>
        <sz val="9"/>
        <rFont val="Arial"/>
        <family val="0"/>
        <charset val="1"/>
      </rPr>
      <t xml:space="preserve">(GLP, </t>
    </r>
    <r>
      <rPr>
        <sz val="9"/>
        <rFont val="Noto Sans CJK SC"/>
        <family val="2"/>
      </rPr>
      <t xml:space="preserve">랫드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</si>
  <si>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200.0</t>
    </r>
  </si>
  <si>
    <r>
      <rPr>
        <sz val="9"/>
        <rFont val="Arial"/>
        <family val="0"/>
        <charset val="1"/>
      </rPr>
      <t xml:space="preserve">28</t>
    </r>
    <r>
      <rPr>
        <sz val="9"/>
        <rFont val="Noto Sans CJK SC"/>
        <family val="2"/>
      </rPr>
      <t xml:space="preserve">일 투여</t>
    </r>
  </si>
  <si>
    <t xml:space="preserve">50</t>
  </si>
  <si>
    <t xml:space="preserve">ALT_PHOTOTOX</t>
  </si>
  <si>
    <t xml:space="preserve">대체시험</t>
  </si>
  <si>
    <t xml:space="preserve">광독성시험</t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</si>
  <si>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1.0,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1.0</t>
    </r>
  </si>
  <si>
    <t xml:space="preserve">시험물질이 액상일 경우 문의바람</t>
  </si>
  <si>
    <t xml:space="preserve">51</t>
  </si>
  <si>
    <t xml:space="preserve">ALT_SKIN_IRRIT</t>
  </si>
  <si>
    <t xml:space="preserve">피부자극시험</t>
  </si>
  <si>
    <t xml:space="preserve">52</t>
  </si>
  <si>
    <t xml:space="preserve">ALT_EYE_IRRIT</t>
  </si>
  <si>
    <t xml:space="preserve">안자극시험</t>
  </si>
  <si>
    <t xml:space="preserve">53</t>
  </si>
  <si>
    <t xml:space="preserve">ALT_SKIN_SENS_ELISA</t>
  </si>
  <si>
    <r>
      <rPr>
        <sz val="9"/>
        <rFont val="Noto Sans CJK SC"/>
        <family val="2"/>
      </rPr>
      <t xml:space="preserve">피부감작시험 </t>
    </r>
    <r>
      <rPr>
        <sz val="9"/>
        <rFont val="Arial"/>
        <family val="0"/>
        <charset val="1"/>
      </rPr>
      <t xml:space="preserve">(ELISA)</t>
    </r>
  </si>
  <si>
    <r>
      <rPr>
        <sz val="9"/>
        <rFont val="Noto Sans CJK SC"/>
        <family val="2"/>
      </rPr>
      <t xml:space="preserve">의약품</t>
    </r>
    <r>
      <rPr>
        <sz val="9"/>
        <rFont val="Arial"/>
        <family val="0"/>
        <charset val="1"/>
      </rPr>
      <t xml:space="preserve">: 6.0, </t>
    </r>
    <r>
      <rPr>
        <sz val="9"/>
        <rFont val="Noto Sans CJK SC"/>
        <family val="2"/>
      </rPr>
      <t xml:space="preserve">천연물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건기식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화장품</t>
    </r>
    <r>
      <rPr>
        <sz val="9"/>
        <rFont val="Arial"/>
        <family val="0"/>
        <charset val="1"/>
      </rPr>
      <t xml:space="preserve">: 6.0</t>
    </r>
  </si>
  <si>
    <t xml:space="preserve">54</t>
  </si>
  <si>
    <t xml:space="preserve">ALT_SKIN_SENS_FCM</t>
  </si>
  <si>
    <r>
      <rPr>
        <sz val="9"/>
        <rFont val="Noto Sans CJK SC"/>
        <family val="2"/>
      </rPr>
      <t xml:space="preserve">피부감작시험 </t>
    </r>
    <r>
      <rPr>
        <sz val="9"/>
        <rFont val="Arial"/>
        <family val="0"/>
        <charset val="1"/>
      </rPr>
      <t xml:space="preserve">(FCM)</t>
    </r>
  </si>
  <si>
    <t xml:space="preserve">55</t>
  </si>
  <si>
    <t xml:space="preserve">ALT_MD_CYTO_EXT</t>
  </si>
  <si>
    <t xml:space="preserve">의료기기시험</t>
  </si>
  <si>
    <r>
      <rPr>
        <sz val="9"/>
        <rFont val="Noto Sans CJK SC"/>
        <family val="2"/>
      </rPr>
      <t xml:space="preserve">세포독성시험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용출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</si>
  <si>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의료기기</t>
    </r>
    <r>
      <rPr>
        <sz val="9"/>
        <rFont val="Arial"/>
        <family val="0"/>
        <charset val="1"/>
      </rPr>
      <t xml:space="preserve">: 1.2</t>
    </r>
  </si>
  <si>
    <r>
      <rPr>
        <sz val="9"/>
        <rFont val="Arial"/>
        <family val="0"/>
        <charset val="1"/>
      </rPr>
      <t xml:space="preserve">0.2 g/mL </t>
    </r>
    <r>
      <rPr>
        <sz val="9"/>
        <rFont val="Noto Sans CJK SC"/>
        <family val="2"/>
      </rPr>
      <t xml:space="preserve">기준</t>
    </r>
  </si>
  <si>
    <t xml:space="preserve">56</t>
  </si>
  <si>
    <t xml:space="preserve">ALT_MD_HEMO_DIRECT</t>
  </si>
  <si>
    <r>
      <rPr>
        <sz val="9"/>
        <rFont val="Noto Sans CJK SC"/>
        <family val="2"/>
      </rPr>
      <t xml:space="preserve">혈액적합성시험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직접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</si>
  <si>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의료기기</t>
    </r>
    <r>
      <rPr>
        <sz val="9"/>
        <rFont val="Arial"/>
        <family val="0"/>
        <charset val="1"/>
      </rPr>
      <t xml:space="preserve">: 5.0</t>
    </r>
  </si>
  <si>
    <t xml:space="preserve">57</t>
  </si>
  <si>
    <t xml:space="preserve">ALT_MD_HEMO_INDIRECT</t>
  </si>
  <si>
    <r>
      <rPr>
        <sz val="9"/>
        <rFont val="Noto Sans CJK SC"/>
        <family val="2"/>
      </rPr>
      <t xml:space="preserve">혈액적합성시험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간접</t>
    </r>
    <r>
      <rPr>
        <sz val="9"/>
        <rFont val="Arial"/>
        <family val="0"/>
        <charset val="1"/>
      </rPr>
      <t xml:space="preserve">)</t>
    </r>
  </si>
  <si>
    <t xml:space="preserve">58</t>
  </si>
  <si>
    <t xml:space="preserve">ALT_MD_ENDOTOXIN</t>
  </si>
  <si>
    <t xml:space="preserve">엔도톡신시험</t>
  </si>
  <si>
    <r>
      <rPr>
        <sz val="9"/>
        <rFont val="Noto Sans CJK SC"/>
        <family val="2"/>
      </rPr>
      <t xml:space="preserve">의료기기</t>
    </r>
    <r>
      <rPr>
        <sz val="9"/>
        <rFont val="Arial"/>
        <family val="0"/>
        <charset val="1"/>
      </rPr>
      <t xml:space="preserve">: 10 devices</t>
    </r>
  </si>
  <si>
    <t xml:space="preserve">고형물 기준</t>
  </si>
  <si>
    <t xml:space="preserve">59</t>
  </si>
  <si>
    <t xml:space="preserve">MDE_ACUTE_SYS</t>
  </si>
  <si>
    <t xml:space="preserve">의료기기평가센터</t>
  </si>
  <si>
    <t xml:space="preserve">의료기기 생물학적 안전성</t>
  </si>
  <si>
    <t xml:space="preserve">급성전신독성</t>
  </si>
  <si>
    <t xml:space="preserve">elution_based</t>
  </si>
  <si>
    <r>
      <rPr>
        <sz val="9"/>
        <rFont val="Noto Sans CJK SC"/>
        <family val="2"/>
      </rPr>
      <t xml:space="preserve">총</t>
    </r>
    <r>
      <rPr>
        <sz val="9"/>
        <rFont val="Arial"/>
        <family val="0"/>
        <charset val="1"/>
      </rPr>
      <t xml:space="preserve">9mL</t>
    </r>
  </si>
  <si>
    <r>
      <rPr>
        <sz val="9"/>
        <rFont val="Arial"/>
        <family val="0"/>
        <charset val="1"/>
      </rPr>
      <t xml:space="preserve">mL or g (</t>
    </r>
    <r>
      <rPr>
        <sz val="9"/>
        <rFont val="Noto Sans CJK SC"/>
        <family val="2"/>
      </rPr>
      <t xml:space="preserve">조건별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</si>
  <si>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극성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비극성 각각 동일량 필요</t>
    </r>
  </si>
  <si>
    <t xml:space="preserve">60</t>
  </si>
  <si>
    <t xml:space="preserve">MDE_SKIN_SENS</t>
  </si>
  <si>
    <t xml:space="preserve">피부감작성</t>
  </si>
  <si>
    <r>
      <rPr>
        <sz val="9"/>
        <rFont val="Noto Sans CJK SC"/>
        <family val="2"/>
      </rPr>
      <t xml:space="preserve">총</t>
    </r>
    <r>
      <rPr>
        <sz val="9"/>
        <rFont val="Arial"/>
        <family val="0"/>
        <charset val="1"/>
      </rPr>
      <t xml:space="preserve">35mL</t>
    </r>
  </si>
  <si>
    <t xml:space="preserve">61</t>
  </si>
  <si>
    <t xml:space="preserve">MDE_INTRADERMAL</t>
  </si>
  <si>
    <r>
      <rPr>
        <sz val="9"/>
        <rFont val="Noto Sans CJK SC"/>
        <family val="2"/>
      </rPr>
      <t xml:space="preserve">피내반응 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회 용출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</si>
  <si>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총</t>
    </r>
    <r>
      <rPr>
        <sz val="9"/>
        <rFont val="Arial"/>
        <family val="0"/>
        <charset val="1"/>
      </rPr>
      <t xml:space="preserve">5mL</t>
    </r>
  </si>
  <si>
    <t xml:space="preserve">62</t>
  </si>
  <si>
    <t xml:space="preserve">MDE_SKIN_IRRIT</t>
  </si>
  <si>
    <r>
      <rPr>
        <sz val="9"/>
        <rFont val="Noto Sans CJK SC"/>
        <family val="2"/>
      </rPr>
      <t xml:space="preserve">피부자극 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회 용출</t>
    </r>
    <r>
      <rPr>
        <sz val="9"/>
        <rFont val="Arial"/>
        <family val="0"/>
        <charset val="1"/>
      </rPr>
      <t xml:space="preserve">)</t>
    </r>
  </si>
  <si>
    <t xml:space="preserve">63</t>
  </si>
  <si>
    <t xml:space="preserve">MDE_ORAL_MUCOSA</t>
  </si>
  <si>
    <r>
      <rPr>
        <sz val="9"/>
        <rFont val="Noto Sans CJK SC"/>
        <family val="2"/>
      </rPr>
      <t xml:space="preserve">구강점막 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회 용출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</si>
  <si>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총</t>
    </r>
    <r>
      <rPr>
        <sz val="9"/>
        <rFont val="Arial"/>
        <family val="0"/>
        <charset val="1"/>
      </rPr>
      <t xml:space="preserve">10mL</t>
    </r>
  </si>
  <si>
    <t xml:space="preserve">64</t>
  </si>
  <si>
    <t xml:space="preserve">MDE_EYE_IRRIT</t>
  </si>
  <si>
    <t xml:space="preserve">안자극</t>
  </si>
  <si>
    <r>
      <rPr>
        <sz val="9"/>
        <rFont val="Noto Sans CJK SC"/>
        <family val="2"/>
      </rPr>
      <t xml:space="preserve">총</t>
    </r>
    <r>
      <rPr>
        <sz val="9"/>
        <rFont val="Arial"/>
        <family val="0"/>
        <charset val="1"/>
      </rPr>
      <t xml:space="preserve">1mL</t>
    </r>
  </si>
  <si>
    <t xml:space="preserve">65</t>
  </si>
  <si>
    <t xml:space="preserve">MDE_CYTO_EXT</t>
  </si>
  <si>
    <t xml:space="preserve">세포독성 용출물시험</t>
  </si>
  <si>
    <r>
      <rPr>
        <sz val="9"/>
        <rFont val="Noto Sans CJK SC"/>
        <family val="2"/>
      </rPr>
      <t xml:space="preserve">총</t>
    </r>
    <r>
      <rPr>
        <sz val="9"/>
        <rFont val="Arial"/>
        <family val="0"/>
        <charset val="1"/>
      </rPr>
      <t xml:space="preserve">6mL</t>
    </r>
  </si>
  <si>
    <t xml:space="preserve">66</t>
  </si>
  <si>
    <t xml:space="preserve">MDE_AMES</t>
  </si>
  <si>
    <t xml:space="preserve">복귀 돌연변이시험</t>
  </si>
  <si>
    <t xml:space="preserve">67</t>
  </si>
  <si>
    <t xml:space="preserve">MDE_CA</t>
  </si>
  <si>
    <t xml:space="preserve">68</t>
  </si>
  <si>
    <t xml:space="preserve">MDE_MN_RAT</t>
  </si>
  <si>
    <r>
      <rPr>
        <sz val="9"/>
        <rFont val="Noto Sans CJK SC"/>
        <family val="2"/>
      </rPr>
      <t xml:space="preserve">소핵시험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랫드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</si>
  <si>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총</t>
    </r>
    <r>
      <rPr>
        <sz val="9"/>
        <rFont val="Arial"/>
        <family val="0"/>
        <charset val="1"/>
      </rPr>
      <t xml:space="preserve">80mL</t>
    </r>
  </si>
  <si>
    <t xml:space="preserve">69</t>
  </si>
  <si>
    <t xml:space="preserve">MDE_MN_MOUSE</t>
  </si>
  <si>
    <r>
      <rPr>
        <sz val="9"/>
        <rFont val="Noto Sans CJK SC"/>
        <family val="2"/>
      </rPr>
      <t xml:space="preserve">소핵시험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마우스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</si>
  <si>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총</t>
    </r>
    <r>
      <rPr>
        <sz val="9"/>
        <rFont val="Arial"/>
        <family val="0"/>
        <charset val="1"/>
      </rPr>
      <t xml:space="preserve">20mL</t>
    </r>
  </si>
  <si>
    <t xml:space="preserve">70</t>
  </si>
  <si>
    <t xml:space="preserve">MDE_HEMOLYSIS</t>
  </si>
  <si>
    <t xml:space="preserve">용혈성시험</t>
  </si>
  <si>
    <r>
      <rPr>
        <sz val="9"/>
        <rFont val="Noto Sans CJK SC"/>
        <family val="2"/>
      </rPr>
      <t xml:space="preserve">총</t>
    </r>
    <r>
      <rPr>
        <sz val="9"/>
        <rFont val="Arial"/>
        <family val="0"/>
        <charset val="1"/>
      </rPr>
      <t xml:space="preserve">25mL</t>
    </r>
  </si>
  <si>
    <t xml:space="preserve">71</t>
  </si>
  <si>
    <t xml:space="preserve">MDE_CYTO_AGAR</t>
  </si>
  <si>
    <r>
      <rPr>
        <sz val="9"/>
        <rFont val="Noto Sans CJK SC"/>
        <family val="2"/>
      </rPr>
      <t xml:space="preserve">세포독성 한천확산법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직접접촉법</t>
    </r>
  </si>
  <si>
    <t xml:space="preserve">None</t>
  </si>
  <si>
    <t xml:space="preserve">ea</t>
  </si>
  <si>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반복 </t>
    </r>
    <r>
      <rPr>
        <sz val="9"/>
        <rFont val="Arial"/>
        <family val="0"/>
        <charset val="1"/>
      </rPr>
      <t xml:space="preserve">× </t>
    </r>
    <r>
      <rPr>
        <sz val="9"/>
        <rFont val="Noto Sans CJK SC"/>
        <family val="2"/>
      </rPr>
      <t xml:space="preserve">여유분 포함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시험물질 </t>
    </r>
    <r>
      <rPr>
        <sz val="9"/>
        <rFont val="Arial"/>
        <family val="0"/>
        <charset val="1"/>
      </rPr>
      <t xml:space="preserve">6 ea </t>
    </r>
    <r>
      <rPr>
        <sz val="9"/>
        <rFont val="Noto Sans CJK SC"/>
        <family val="2"/>
      </rPr>
      <t xml:space="preserve">필요</t>
    </r>
  </si>
  <si>
    <t xml:space="preserve">72</t>
  </si>
  <si>
    <t xml:space="preserve">MDE_ENDOTOXIN</t>
  </si>
  <si>
    <t xml:space="preserve">ea (devices)</t>
  </si>
  <si>
    <r>
      <rPr>
        <sz val="9"/>
        <rFont val="Noto Sans CJK SC"/>
        <family val="2"/>
      </rPr>
      <t xml:space="preserve">고형물 기준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액상 제외</t>
    </r>
  </si>
  <si>
    <t xml:space="preserve">73</t>
  </si>
  <si>
    <t xml:space="preserve">MDE_PHARMA_ASA</t>
  </si>
  <si>
    <r>
      <rPr>
        <sz val="9"/>
        <rFont val="Noto Sans CJK SC"/>
        <family val="2"/>
      </rPr>
      <t xml:space="preserve">의약품 면역독성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자극성</t>
    </r>
  </si>
  <si>
    <r>
      <rPr>
        <sz val="9"/>
        <rFont val="Arial"/>
        <family val="0"/>
        <charset val="1"/>
      </rPr>
      <t xml:space="preserve">ASA </t>
    </r>
    <r>
      <rPr>
        <sz val="9"/>
        <rFont val="Noto Sans CJK SC"/>
        <family val="2"/>
      </rPr>
      <t xml:space="preserve">반응시험</t>
    </r>
  </si>
  <si>
    <t xml:space="preserve">fixed_liquid_powder</t>
  </si>
  <si>
    <r>
      <rPr>
        <sz val="9"/>
        <rFont val="Noto Sans CJK SC"/>
        <family val="2"/>
      </rPr>
      <t xml:space="preserve">액상</t>
    </r>
    <r>
      <rPr>
        <sz val="9"/>
        <rFont val="Arial"/>
        <family val="0"/>
        <charset val="1"/>
      </rPr>
      <t xml:space="preserve">:50mL / </t>
    </r>
    <r>
      <rPr>
        <sz val="9"/>
        <rFont val="Noto Sans CJK SC"/>
        <family val="2"/>
      </rPr>
      <t xml:space="preserve">파우더</t>
    </r>
    <r>
      <rPr>
        <sz val="9"/>
        <rFont val="Arial"/>
        <family val="0"/>
        <charset val="1"/>
      </rPr>
      <t xml:space="preserve">:50g</t>
    </r>
  </si>
  <si>
    <r>
      <rPr>
        <sz val="9"/>
        <rFont val="Arial"/>
        <family val="0"/>
        <charset val="1"/>
      </rPr>
      <t xml:space="preserve">mL (</t>
    </r>
    <r>
      <rPr>
        <sz val="9"/>
        <rFont val="Noto Sans CJK SC"/>
        <family val="2"/>
      </rPr>
      <t xml:space="preserve">액상</t>
    </r>
    <r>
      <rPr>
        <sz val="9"/>
        <rFont val="Arial"/>
        <family val="0"/>
        <charset val="1"/>
      </rPr>
      <t xml:space="preserve">) / g (</t>
    </r>
    <r>
      <rPr>
        <sz val="9"/>
        <rFont val="Noto Sans CJK SC"/>
        <family val="2"/>
      </rPr>
      <t xml:space="preserve">파우더</t>
    </r>
    <r>
      <rPr>
        <sz val="9"/>
        <rFont val="Arial"/>
        <family val="0"/>
        <charset val="1"/>
      </rPr>
      <t xml:space="preserve">)</t>
    </r>
  </si>
  <si>
    <t xml:space="preserve">예비투여 필요량 포함</t>
  </si>
  <si>
    <t xml:space="preserve">74</t>
  </si>
  <si>
    <t xml:space="preserve">MDE_PHARMA_PCA</t>
  </si>
  <si>
    <r>
      <rPr>
        <sz val="9"/>
        <rFont val="Arial"/>
        <family val="0"/>
        <charset val="1"/>
      </rPr>
      <t xml:space="preserve">PCA </t>
    </r>
    <r>
      <rPr>
        <sz val="9"/>
        <rFont val="Noto Sans CJK SC"/>
        <family val="2"/>
      </rPr>
      <t xml:space="preserve">반응시험</t>
    </r>
  </si>
  <si>
    <r>
      <rPr>
        <sz val="9"/>
        <rFont val="Noto Sans CJK SC"/>
        <family val="2"/>
      </rPr>
      <t xml:space="preserve">액상</t>
    </r>
    <r>
      <rPr>
        <sz val="9"/>
        <rFont val="Arial"/>
        <family val="0"/>
        <charset val="1"/>
      </rPr>
      <t xml:space="preserve">:25mL / </t>
    </r>
    <r>
      <rPr>
        <sz val="9"/>
        <rFont val="Noto Sans CJK SC"/>
        <family val="2"/>
      </rPr>
      <t xml:space="preserve">파우더</t>
    </r>
    <r>
      <rPr>
        <sz val="9"/>
        <rFont val="Arial"/>
        <family val="0"/>
        <charset val="1"/>
      </rPr>
      <t xml:space="preserve">:25g</t>
    </r>
  </si>
  <si>
    <t xml:space="preserve">75</t>
  </si>
  <si>
    <t xml:space="preserve">MDE_PHARMA_SKIN_SENS</t>
  </si>
  <si>
    <t xml:space="preserve">76</t>
  </si>
  <si>
    <t xml:space="preserve">MDE_PHARMA_PHOTOSENS</t>
  </si>
  <si>
    <t xml:space="preserve">광감작성</t>
  </si>
  <si>
    <r>
      <rPr>
        <sz val="9"/>
        <rFont val="Noto Sans CJK SC"/>
        <family val="2"/>
      </rPr>
      <t xml:space="preserve">액상</t>
    </r>
    <r>
      <rPr>
        <sz val="9"/>
        <rFont val="Arial"/>
        <family val="0"/>
        <charset val="1"/>
      </rPr>
      <t xml:space="preserve">:15mL / </t>
    </r>
    <r>
      <rPr>
        <sz val="9"/>
        <rFont val="Noto Sans CJK SC"/>
        <family val="2"/>
      </rPr>
      <t xml:space="preserve">파우더</t>
    </r>
    <r>
      <rPr>
        <sz val="9"/>
        <rFont val="Arial"/>
        <family val="0"/>
        <charset val="1"/>
      </rPr>
      <t xml:space="preserve">:15g</t>
    </r>
  </si>
  <si>
    <t xml:space="preserve">77</t>
  </si>
  <si>
    <t xml:space="preserve">MDE_PHARMA_PHOTOTOX</t>
  </si>
  <si>
    <t xml:space="preserve">광독성</t>
  </si>
  <si>
    <r>
      <rPr>
        <sz val="9"/>
        <rFont val="Noto Sans CJK SC"/>
        <family val="2"/>
      </rPr>
      <t xml:space="preserve">액상</t>
    </r>
    <r>
      <rPr>
        <sz val="9"/>
        <rFont val="Arial"/>
        <family val="0"/>
        <charset val="1"/>
      </rPr>
      <t xml:space="preserve">:5mL / </t>
    </r>
    <r>
      <rPr>
        <sz val="9"/>
        <rFont val="Noto Sans CJK SC"/>
        <family val="2"/>
      </rPr>
      <t xml:space="preserve">파우더</t>
    </r>
    <r>
      <rPr>
        <sz val="9"/>
        <rFont val="Arial"/>
        <family val="0"/>
        <charset val="1"/>
      </rPr>
      <t xml:space="preserve">:0.5g</t>
    </r>
  </si>
  <si>
    <t xml:space="preserve">78</t>
  </si>
  <si>
    <t xml:space="preserve">MDE_PHARMA_SKIN_IRRIT_MFDS</t>
  </si>
  <si>
    <r>
      <rPr>
        <sz val="9"/>
        <rFont val="Noto Sans CJK SC"/>
        <family val="2"/>
      </rPr>
      <t xml:space="preserve">피부자극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식약처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</si>
  <si>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액상</t>
    </r>
    <r>
      <rPr>
        <sz val="9"/>
        <rFont val="Arial"/>
        <family val="0"/>
        <charset val="1"/>
      </rPr>
      <t xml:space="preserve">:8mL / </t>
    </r>
    <r>
      <rPr>
        <sz val="9"/>
        <rFont val="Noto Sans CJK SC"/>
        <family val="2"/>
      </rPr>
      <t xml:space="preserve">파우더</t>
    </r>
    <r>
      <rPr>
        <sz val="9"/>
        <rFont val="Arial"/>
        <family val="0"/>
        <charset val="1"/>
      </rPr>
      <t xml:space="preserve">:8g</t>
    </r>
  </si>
  <si>
    <t xml:space="preserve">79</t>
  </si>
  <si>
    <t xml:space="preserve">MDE_PHARMA_EYE_IRRIT_MFDS</t>
  </si>
  <si>
    <r>
      <rPr>
        <sz val="9"/>
        <rFont val="Noto Sans CJK SC"/>
        <family val="2"/>
      </rPr>
      <t xml:space="preserve">안자극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식약처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</si>
  <si>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액상</t>
    </r>
    <r>
      <rPr>
        <sz val="9"/>
        <rFont val="Arial"/>
        <family val="0"/>
        <charset val="1"/>
      </rPr>
      <t xml:space="preserve">:2mL / </t>
    </r>
    <r>
      <rPr>
        <sz val="9"/>
        <rFont val="Noto Sans CJK SC"/>
        <family val="2"/>
      </rPr>
      <t xml:space="preserve">파우더</t>
    </r>
    <r>
      <rPr>
        <sz val="9"/>
        <rFont val="Arial"/>
        <family val="0"/>
        <charset val="1"/>
      </rPr>
      <t xml:space="preserve">:2g</t>
    </r>
  </si>
  <si>
    <t xml:space="preserve">80</t>
  </si>
  <si>
    <t xml:space="preserve">MDE_PHARMA_SKIN_IRRIT_ME</t>
  </si>
  <si>
    <r>
      <rPr>
        <sz val="9"/>
        <rFont val="Noto Sans CJK SC"/>
        <family val="2"/>
      </rPr>
      <t xml:space="preserve">피부자극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환경부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</si>
  <si>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액상</t>
    </r>
    <r>
      <rPr>
        <sz val="9"/>
        <rFont val="Arial"/>
        <family val="0"/>
        <charset val="1"/>
      </rPr>
      <t xml:space="preserve">:3.5mL / </t>
    </r>
    <r>
      <rPr>
        <sz val="9"/>
        <rFont val="Noto Sans CJK SC"/>
        <family val="2"/>
      </rPr>
      <t xml:space="preserve">파우더</t>
    </r>
    <r>
      <rPr>
        <sz val="9"/>
        <rFont val="Arial"/>
        <family val="0"/>
        <charset val="1"/>
      </rPr>
      <t xml:space="preserve">:3.5g</t>
    </r>
  </si>
  <si>
    <t xml:space="preserve">81</t>
  </si>
  <si>
    <t xml:space="preserve">MDE_PHARMA_EYE_IRRIT_ME</t>
  </si>
  <si>
    <r>
      <rPr>
        <sz val="9"/>
        <rFont val="Noto Sans CJK SC"/>
        <family val="2"/>
      </rPr>
      <t xml:space="preserve">안자극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환경부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</si>
  <si>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액상</t>
    </r>
    <r>
      <rPr>
        <sz val="9"/>
        <rFont val="Arial"/>
        <family val="0"/>
        <charset val="1"/>
      </rPr>
      <t xml:space="preserve">:1mL / </t>
    </r>
    <r>
      <rPr>
        <sz val="9"/>
        <rFont val="Noto Sans CJK SC"/>
        <family val="2"/>
      </rPr>
      <t xml:space="preserve">파우더</t>
    </r>
    <r>
      <rPr>
        <sz val="9"/>
        <rFont val="Arial"/>
        <family val="0"/>
        <charset val="1"/>
      </rPr>
      <t xml:space="preserve">:1g</t>
    </r>
  </si>
  <si>
    <t xml:space="preserve">82</t>
  </si>
  <si>
    <t xml:space="preserve">MDE_SKIN_SENS_DETAIL</t>
  </si>
  <si>
    <r>
      <rPr>
        <sz val="9"/>
        <rFont val="Noto Sans CJK SC"/>
        <family val="2"/>
      </rPr>
      <t xml:space="preserve">피부감작성 상세 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차유도</t>
    </r>
    <r>
      <rPr>
        <sz val="9"/>
        <rFont val="Arial"/>
        <family val="0"/>
        <charset val="1"/>
      </rPr>
      <t xml:space="preserve">/2</t>
    </r>
    <r>
      <rPr>
        <sz val="9"/>
        <rFont val="Noto Sans CJK SC"/>
        <family val="2"/>
      </rPr>
      <t xml:space="preserve">차유도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유발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극성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비극성</t>
    </r>
    <r>
      <rPr>
        <sz val="9"/>
        <rFont val="Arial"/>
        <family val="0"/>
        <charset val="1"/>
      </rPr>
      <t xml:space="preserve">)</t>
    </r>
  </si>
  <si>
    <t xml:space="preserve">sensitization_detail</t>
  </si>
  <si>
    <t xml:space="preserve">{'induction1_polar': 6, 'induction1_nonpolar': 6, 'induction2_polar': 10, 'induction2_nonpolar': 10, 'challenge_polar': 15, 'challenge_nonpolar': 15, 'total_volumes': '12+20+30 mL'}</t>
  </si>
  <si>
    <r>
      <rPr>
        <sz val="9"/>
        <rFont val="Arial"/>
        <family val="0"/>
        <charset val="1"/>
      </rPr>
      <t xml:space="preserve">mL (</t>
    </r>
    <r>
      <rPr>
        <sz val="9"/>
        <rFont val="Noto Sans CJK SC"/>
        <family val="2"/>
      </rPr>
      <t xml:space="preserve">총 용출량 기준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</si>
  <si>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용출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회 진행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각 용출별 필요량 별도 계산</t>
    </r>
  </si>
  <si>
    <t xml:space="preserve">반복투여독성 시험별 용량군 상세 계산</t>
  </si>
  <si>
    <t xml:space="preserve">동물수</t>
  </si>
  <si>
    <r>
      <rPr>
        <b val="true"/>
        <sz val="10"/>
        <color rgb="FFFFFFFF"/>
        <rFont val="Noto Sans CJK SC"/>
        <family val="2"/>
      </rPr>
      <t xml:space="preserve">체중</t>
    </r>
    <r>
      <rPr>
        <b val="true"/>
        <sz val="10"/>
        <color rgb="FFFFFFFF"/>
        <rFont val="Arial"/>
        <family val="0"/>
        <charset val="1"/>
      </rPr>
      <t xml:space="preserve">(g)</t>
    </r>
  </si>
  <si>
    <r>
      <rPr>
        <b val="true"/>
        <sz val="10"/>
        <color rgb="FFFFFFFF"/>
        <rFont val="Noto Sans CJK SC"/>
        <family val="2"/>
      </rPr>
      <t xml:space="preserve">투여일</t>
    </r>
    <r>
      <rPr>
        <b val="true"/>
        <sz val="10"/>
        <color rgb="FFFFFFFF"/>
        <rFont val="Arial"/>
        <family val="0"/>
        <charset val="1"/>
      </rPr>
      <t xml:space="preserve">(day)</t>
    </r>
  </si>
  <si>
    <r>
      <rPr>
        <b val="true"/>
        <sz val="10"/>
        <color rgb="FFFFFFFF"/>
        <rFont val="Noto Sans CJK SC"/>
        <family val="2"/>
      </rPr>
      <t xml:space="preserve">용량</t>
    </r>
    <r>
      <rPr>
        <b val="true"/>
        <sz val="10"/>
        <color rgb="FFFFFFFF"/>
        <rFont val="Arial"/>
        <family val="0"/>
        <charset val="1"/>
      </rPr>
      <t xml:space="preserve">(mg/kg)</t>
    </r>
  </si>
  <si>
    <r>
      <rPr>
        <b val="true"/>
        <sz val="10"/>
        <color rgb="FFFFFFFF"/>
        <rFont val="Noto Sans CJK SC"/>
        <family val="2"/>
      </rPr>
      <t xml:space="preserve">필요량</t>
    </r>
    <r>
      <rPr>
        <b val="true"/>
        <sz val="10"/>
        <color rgb="FFFFFFFF"/>
        <rFont val="Arial"/>
        <family val="0"/>
        <charset val="1"/>
      </rPr>
      <t xml:space="preserve">(mg)</t>
    </r>
  </si>
  <si>
    <r>
      <rPr>
        <b val="true"/>
        <sz val="10"/>
        <color rgb="FFFFFFFF"/>
        <rFont val="Noto Sans CJK SC"/>
        <family val="2"/>
      </rPr>
      <t xml:space="preserve">필요량</t>
    </r>
    <r>
      <rPr>
        <b val="true"/>
        <sz val="10"/>
        <color rgb="FFFFFFFF"/>
        <rFont val="Arial"/>
        <family val="0"/>
        <charset val="1"/>
      </rPr>
      <t xml:space="preserve">(g)</t>
    </r>
  </si>
  <si>
    <r>
      <rPr>
        <b val="true"/>
        <sz val="9"/>
        <rFont val="Noto Sans CJK SC"/>
        <family val="2"/>
      </rPr>
      <t xml:space="preserve">랫드 반복 </t>
    </r>
    <r>
      <rPr>
        <b val="true"/>
        <sz val="9"/>
        <rFont val="Arial"/>
        <family val="0"/>
        <charset val="1"/>
      </rPr>
      <t xml:space="preserve">2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DRF</t>
    </r>
  </si>
  <si>
    <t xml:space="preserve">총량</t>
  </si>
  <si>
    <r>
      <rPr>
        <b val="true"/>
        <sz val="9"/>
        <rFont val="Noto Sans CJK SC"/>
        <family val="2"/>
      </rPr>
      <t xml:space="preserve">랫드 반복 </t>
    </r>
    <r>
      <rPr>
        <b val="true"/>
        <sz val="9"/>
        <rFont val="Arial"/>
        <family val="0"/>
        <charset val="1"/>
      </rPr>
      <t xml:space="preserve">4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회복 포함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</si>
  <si>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랫드 반복 </t>
    </r>
    <r>
      <rPr>
        <b val="true"/>
        <sz val="9"/>
        <rFont val="Arial"/>
        <family val="0"/>
        <charset val="1"/>
      </rPr>
      <t xml:space="preserve">4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TK</t>
    </r>
  </si>
  <si>
    <r>
      <rPr>
        <b val="true"/>
        <sz val="9"/>
        <rFont val="Noto Sans CJK SC"/>
        <family val="2"/>
      </rPr>
      <t xml:space="preserve">랫드 반복 </t>
    </r>
    <r>
      <rPr>
        <b val="true"/>
        <sz val="9"/>
        <rFont val="Arial"/>
        <family val="0"/>
        <charset val="1"/>
      </rPr>
      <t xml:space="preserve">13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회복 포함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</si>
  <si>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랫드 반복 </t>
    </r>
    <r>
      <rPr>
        <b val="true"/>
        <sz val="9"/>
        <rFont val="Arial"/>
        <family val="0"/>
        <charset val="1"/>
      </rPr>
      <t xml:space="preserve">13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TK</t>
    </r>
  </si>
  <si>
    <r>
      <rPr>
        <b val="true"/>
        <sz val="9"/>
        <rFont val="Noto Sans CJK SC"/>
        <family val="2"/>
      </rPr>
      <t xml:space="preserve">랫드 반복 </t>
    </r>
    <r>
      <rPr>
        <b val="true"/>
        <sz val="9"/>
        <rFont val="Arial"/>
        <family val="0"/>
        <charset val="1"/>
      </rPr>
      <t xml:space="preserve">4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DRF (13</t>
    </r>
    <r>
      <rPr>
        <b val="true"/>
        <sz val="9"/>
        <rFont val="Noto Sans CJK SC"/>
        <family val="2"/>
      </rPr>
      <t xml:space="preserve">주 패키지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</si>
  <si>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랫드 반복 </t>
    </r>
    <r>
      <rPr>
        <b val="true"/>
        <sz val="9"/>
        <rFont val="Arial"/>
        <family val="0"/>
        <charset val="1"/>
      </rPr>
      <t xml:space="preserve">13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DRF (26</t>
    </r>
    <r>
      <rPr>
        <b val="true"/>
        <sz val="9"/>
        <rFont val="Noto Sans CJK SC"/>
        <family val="2"/>
      </rPr>
      <t xml:space="preserve">주 패키지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</si>
  <si>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랫드 반복 </t>
    </r>
    <r>
      <rPr>
        <b val="true"/>
        <sz val="9"/>
        <rFont val="Arial"/>
        <family val="0"/>
        <charset val="1"/>
      </rPr>
      <t xml:space="preserve">26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회복 포함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</si>
  <si>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랫드 반복 </t>
    </r>
    <r>
      <rPr>
        <b val="true"/>
        <sz val="9"/>
        <rFont val="Arial"/>
        <family val="0"/>
        <charset val="1"/>
      </rPr>
      <t xml:space="preserve">26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TK</t>
    </r>
  </si>
  <si>
    <r>
      <rPr>
        <b val="true"/>
        <sz val="9"/>
        <rFont val="Noto Sans CJK SC"/>
        <family val="2"/>
      </rPr>
      <t xml:space="preserve">랫드 발암성시험 </t>
    </r>
    <r>
      <rPr>
        <b val="true"/>
        <sz val="9"/>
        <rFont val="Arial"/>
        <family val="0"/>
        <charset val="1"/>
      </rPr>
      <t xml:space="preserve">(2</t>
    </r>
    <r>
      <rPr>
        <b val="true"/>
        <sz val="9"/>
        <rFont val="Noto Sans CJK SC"/>
        <family val="2"/>
      </rPr>
      <t xml:space="preserve">년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</si>
  <si>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비설치류 반복 </t>
    </r>
    <r>
      <rPr>
        <b val="true"/>
        <sz val="9"/>
        <rFont val="Arial"/>
        <family val="0"/>
        <charset val="1"/>
      </rPr>
      <t xml:space="preserve">2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DRF</t>
    </r>
  </si>
  <si>
    <r>
      <rPr>
        <b val="true"/>
        <sz val="9"/>
        <rFont val="Noto Sans CJK SC"/>
        <family val="2"/>
      </rPr>
      <t xml:space="preserve">비설치류 반복 </t>
    </r>
    <r>
      <rPr>
        <b val="true"/>
        <sz val="9"/>
        <rFont val="Arial"/>
        <family val="0"/>
        <charset val="1"/>
      </rPr>
      <t xml:space="preserve">4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(TK </t>
    </r>
    <r>
      <rPr>
        <b val="true"/>
        <sz val="9"/>
        <rFont val="Noto Sans CJK SC"/>
        <family val="2"/>
      </rPr>
      <t xml:space="preserve">포함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</si>
  <si>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비설치류 반복 </t>
    </r>
    <r>
      <rPr>
        <b val="true"/>
        <sz val="9"/>
        <rFont val="Arial"/>
        <family val="0"/>
        <charset val="1"/>
      </rPr>
      <t xml:space="preserve">4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DRF (13</t>
    </r>
    <r>
      <rPr>
        <b val="true"/>
        <sz val="9"/>
        <rFont val="Noto Sans CJK SC"/>
        <family val="2"/>
      </rPr>
      <t xml:space="preserve">주 패키지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</si>
  <si>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비설치류 반복 </t>
    </r>
    <r>
      <rPr>
        <b val="true"/>
        <sz val="9"/>
        <rFont val="Arial"/>
        <family val="0"/>
        <charset val="1"/>
      </rPr>
      <t xml:space="preserve">13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(TK </t>
    </r>
    <r>
      <rPr>
        <b val="true"/>
        <sz val="9"/>
        <rFont val="Noto Sans CJK SC"/>
        <family val="2"/>
      </rPr>
      <t xml:space="preserve">포함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</si>
  <si>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비설치류 반복 </t>
    </r>
    <r>
      <rPr>
        <b val="true"/>
        <sz val="9"/>
        <rFont val="Arial"/>
        <family val="0"/>
        <charset val="1"/>
      </rPr>
      <t xml:space="preserve">13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DRF (39</t>
    </r>
    <r>
      <rPr>
        <b val="true"/>
        <sz val="9"/>
        <rFont val="Noto Sans CJK SC"/>
        <family val="2"/>
      </rPr>
      <t xml:space="preserve">주 패키지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</si>
  <si>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비설치류 반복 </t>
    </r>
    <r>
      <rPr>
        <b val="true"/>
        <sz val="9"/>
        <rFont val="Arial"/>
        <family val="0"/>
        <charset val="1"/>
      </rPr>
      <t xml:space="preserve">39</t>
    </r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(TK </t>
    </r>
    <r>
      <rPr>
        <b val="true"/>
        <sz val="9"/>
        <rFont val="Noto Sans CJK SC"/>
        <family val="2"/>
      </rPr>
      <t xml:space="preserve">포함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</si>
  <si>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수태능력시험</t>
    </r>
    <r>
      <rPr>
        <b val="true"/>
        <sz val="9"/>
        <rFont val="Arial"/>
        <family val="0"/>
        <charset val="1"/>
      </rPr>
      <t xml:space="preserve">-</t>
    </r>
    <r>
      <rPr>
        <b val="true"/>
        <sz val="9"/>
        <rFont val="Noto Sans CJK SC"/>
        <family val="2"/>
      </rPr>
      <t xml:space="preserve">수컷</t>
    </r>
  </si>
  <si>
    <r>
      <rPr>
        <b val="true"/>
        <sz val="9"/>
        <rFont val="Noto Sans CJK SC"/>
        <family val="2"/>
      </rPr>
      <t xml:space="preserve">수태능력시험</t>
    </r>
    <r>
      <rPr>
        <b val="true"/>
        <sz val="9"/>
        <rFont val="Arial"/>
        <family val="0"/>
        <charset val="1"/>
      </rPr>
      <t xml:space="preserve">-</t>
    </r>
    <r>
      <rPr>
        <b val="true"/>
        <sz val="9"/>
        <rFont val="Noto Sans CJK SC"/>
        <family val="2"/>
      </rPr>
      <t xml:space="preserve">암컷</t>
    </r>
  </si>
  <si>
    <r>
      <rPr>
        <b val="true"/>
        <sz val="9"/>
        <rFont val="Noto Sans CJK SC"/>
        <family val="2"/>
      </rPr>
      <t xml:space="preserve">출생전후 발생독성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모체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</si>
  <si>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배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태자 발생독성 </t>
    </r>
    <r>
      <rPr>
        <b val="true"/>
        <sz val="9"/>
        <rFont val="Arial"/>
        <family val="0"/>
        <charset val="1"/>
      </rPr>
      <t xml:space="preserve">- </t>
    </r>
    <r>
      <rPr>
        <b val="true"/>
        <sz val="9"/>
        <rFont val="Noto Sans CJK SC"/>
        <family val="2"/>
      </rPr>
      <t xml:space="preserve">설치류 예비</t>
    </r>
  </si>
  <si>
    <r>
      <rPr>
        <b val="true"/>
        <sz val="9"/>
        <rFont val="Noto Sans CJK SC"/>
        <family val="2"/>
      </rPr>
      <t xml:space="preserve">배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태자 발생독성 </t>
    </r>
    <r>
      <rPr>
        <b val="true"/>
        <sz val="9"/>
        <rFont val="Arial"/>
        <family val="0"/>
        <charset val="1"/>
      </rPr>
      <t xml:space="preserve">- </t>
    </r>
    <r>
      <rPr>
        <b val="true"/>
        <sz val="9"/>
        <rFont val="Noto Sans CJK SC"/>
        <family val="2"/>
      </rPr>
      <t xml:space="preserve">설치류 본시험</t>
    </r>
  </si>
  <si>
    <r>
      <rPr>
        <b val="true"/>
        <sz val="9"/>
        <rFont val="Noto Sans CJK SC"/>
        <family val="2"/>
      </rPr>
      <t xml:space="preserve">배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태자 발생독성 </t>
    </r>
    <r>
      <rPr>
        <b val="true"/>
        <sz val="9"/>
        <rFont val="Arial"/>
        <family val="0"/>
        <charset val="1"/>
      </rPr>
      <t xml:space="preserve">- </t>
    </r>
    <r>
      <rPr>
        <b val="true"/>
        <sz val="9"/>
        <rFont val="Noto Sans CJK SC"/>
        <family val="2"/>
      </rPr>
      <t xml:space="preserve">토끼 예비</t>
    </r>
  </si>
  <si>
    <r>
      <rPr>
        <b val="true"/>
        <sz val="9"/>
        <rFont val="Noto Sans CJK SC"/>
        <family val="2"/>
      </rPr>
      <t xml:space="preserve">배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태자 발생독성 </t>
    </r>
    <r>
      <rPr>
        <b val="true"/>
        <sz val="9"/>
        <rFont val="Arial"/>
        <family val="0"/>
        <charset val="1"/>
      </rPr>
      <t xml:space="preserve">- </t>
    </r>
    <r>
      <rPr>
        <b val="true"/>
        <sz val="9"/>
        <rFont val="Noto Sans CJK SC"/>
        <family val="2"/>
      </rPr>
      <t xml:space="preserve">토끼 본시험</t>
    </r>
  </si>
  <si>
    <r>
      <rPr>
        <b val="true"/>
        <sz val="13"/>
        <color rgb="FF2F5496"/>
        <rFont val="Noto Sans CJK SC"/>
        <family val="2"/>
      </rPr>
      <t xml:space="preserve">유전독성</t>
    </r>
    <r>
      <rPr>
        <b val="true"/>
        <sz val="13"/>
        <color rgb="FF2F5496"/>
        <rFont val="Arial"/>
        <family val="0"/>
        <charset val="1"/>
      </rPr>
      <t xml:space="preserve">/</t>
    </r>
    <r>
      <rPr>
        <b val="true"/>
        <sz val="13"/>
        <color rgb="FF2F5496"/>
        <rFont val="Noto Sans CJK SC"/>
        <family val="2"/>
      </rPr>
      <t xml:space="preserve">대체시험 시험물질 필요량 </t>
    </r>
    <r>
      <rPr>
        <b val="true"/>
        <sz val="13"/>
        <color rgb="FF2F5496"/>
        <rFont val="Arial"/>
        <family val="0"/>
        <charset val="1"/>
      </rPr>
      <t xml:space="preserve">(</t>
    </r>
    <r>
      <rPr>
        <b val="true"/>
        <sz val="13"/>
        <color rgb="FF2F5496"/>
        <rFont val="Noto Sans CJK SC"/>
        <family val="2"/>
      </rPr>
      <t xml:space="preserve">가이드라인</t>
    </r>
    <r>
      <rPr>
        <b val="true"/>
        <sz val="13"/>
        <color rgb="FF2F5496"/>
        <rFont val="Arial"/>
        <family val="0"/>
        <charset val="1"/>
      </rPr>
      <t xml:space="preserve">/</t>
    </r>
    <r>
      <rPr>
        <b val="true"/>
        <sz val="13"/>
        <color rgb="FF2F5496"/>
        <rFont val="Noto Sans CJK SC"/>
        <family val="2"/>
      </rPr>
      <t xml:space="preserve">제품유형별</t>
    </r>
    <r>
      <rPr>
        <b val="true"/>
        <sz val="13"/>
        <color rgb="FF2F5496"/>
        <rFont val="Arial"/>
        <family val="0"/>
        <charset val="1"/>
      </rPr>
      <t xml:space="preserve">)</t>
    </r>
  </si>
  <si>
    <t xml:space="preserve">의약품</t>
  </si>
  <si>
    <r>
      <rPr>
        <b val="true"/>
        <sz val="10"/>
        <color rgb="FFFFFFFF"/>
        <rFont val="Noto Sans CJK SC"/>
        <family val="2"/>
      </rPr>
      <t xml:space="preserve">천연물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건기식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화장품</t>
    </r>
  </si>
  <si>
    <t xml:space="preserve">화학물질</t>
  </si>
  <si>
    <t xml:space="preserve">의료기기</t>
  </si>
  <si>
    <t xml:space="preserve">4g / 3g</t>
  </si>
  <si>
    <t xml:space="preserve">3g / 2g</t>
  </si>
  <si>
    <t xml:space="preserve">7g / 5g</t>
  </si>
  <si>
    <t xml:space="preserve">12g / 10g</t>
  </si>
  <si>
    <t xml:space="preserve">40g / 35g</t>
  </si>
  <si>
    <t xml:space="preserve">90g / 85g</t>
  </si>
  <si>
    <t xml:space="preserve">60g / 55g</t>
  </si>
  <si>
    <t xml:space="preserve">135g / 130g</t>
  </si>
  <si>
    <t xml:space="preserve">2.0</t>
  </si>
  <si>
    <t xml:space="preserve">2.4</t>
  </si>
  <si>
    <t xml:space="preserve">-</t>
  </si>
  <si>
    <t xml:space="preserve">0.3</t>
  </si>
  <si>
    <t xml:space="preserve">0.5</t>
  </si>
  <si>
    <t xml:space="preserve">35.0</t>
  </si>
  <si>
    <t xml:space="preserve">85.0</t>
  </si>
  <si>
    <t xml:space="preserve">24.0</t>
  </si>
  <si>
    <t xml:space="preserve">40.0</t>
  </si>
  <si>
    <t xml:space="preserve">90.0</t>
  </si>
  <si>
    <t xml:space="preserve">5.0</t>
  </si>
  <si>
    <t xml:space="preserve">10.0</t>
  </si>
  <si>
    <t xml:space="preserve">7.0</t>
  </si>
  <si>
    <t xml:space="preserve">12.0</t>
  </si>
  <si>
    <t xml:space="preserve">15.0</t>
  </si>
  <si>
    <t xml:space="preserve">30.0</t>
  </si>
  <si>
    <t xml:space="preserve">3.0</t>
  </si>
  <si>
    <t xml:space="preserve">4.0</t>
  </si>
  <si>
    <t xml:space="preserve">55.0</t>
  </si>
  <si>
    <t xml:space="preserve">130.0</t>
  </si>
  <si>
    <t xml:space="preserve">60.0</t>
  </si>
  <si>
    <t xml:space="preserve">135.0</t>
  </si>
  <si>
    <t xml:space="preserve">200.0</t>
  </si>
  <si>
    <t xml:space="preserve">1.0</t>
  </si>
  <si>
    <t xml:space="preserve">6.0</t>
  </si>
  <si>
    <t xml:space="preserve">1.2</t>
  </si>
  <si>
    <t xml:space="preserve">10 devices</t>
  </si>
  <si>
    <r>
      <rPr>
        <b val="true"/>
        <sz val="13"/>
        <color rgb="FF2F5496"/>
        <rFont val="Noto Sans CJK SC"/>
        <family val="2"/>
      </rPr>
      <t xml:space="preserve">의료기기 생물학적 안전성 시험 </t>
    </r>
    <r>
      <rPr>
        <b val="true"/>
        <sz val="13"/>
        <color rgb="FF2F5496"/>
        <rFont val="Arial"/>
        <family val="0"/>
        <charset val="1"/>
      </rPr>
      <t xml:space="preserve">- </t>
    </r>
    <r>
      <rPr>
        <b val="true"/>
        <sz val="13"/>
        <color rgb="FF2F5496"/>
        <rFont val="Noto Sans CJK SC"/>
        <family val="2"/>
      </rPr>
      <t xml:space="preserve">용출조건별 필요량</t>
    </r>
  </si>
  <si>
    <r>
      <rPr>
        <b val="true"/>
        <sz val="10"/>
        <color rgb="FFFFFFFF"/>
        <rFont val="Noto Sans CJK SC"/>
        <family val="2"/>
      </rPr>
      <t xml:space="preserve">총 용출량</t>
    </r>
    <r>
      <rPr>
        <b val="true"/>
        <sz val="10"/>
        <color rgb="FFFFFFFF"/>
        <rFont val="Arial"/>
        <family val="0"/>
        <charset val="1"/>
      </rPr>
      <t xml:space="preserve">(mL)</t>
    </r>
  </si>
  <si>
    <r>
      <rPr>
        <b val="true"/>
        <sz val="10"/>
        <color rgb="FFFFFFFF"/>
        <rFont val="Noto Sans CJK SC"/>
        <family val="2"/>
      </rPr>
      <t xml:space="preserve">표면적 </t>
    </r>
    <r>
      <rPr>
        <b val="true"/>
        <sz val="10"/>
        <color rgb="FFFFFFFF"/>
        <rFont val="Arial"/>
        <family val="0"/>
        <charset val="1"/>
      </rPr>
      <t xml:space="preserve">3cm²/mL</t>
    </r>
  </si>
  <si>
    <r>
      <rPr>
        <b val="true"/>
        <sz val="10"/>
        <color rgb="FFFFFFFF"/>
        <rFont val="Noto Sans CJK SC"/>
        <family val="2"/>
      </rPr>
      <t xml:space="preserve">표면적 </t>
    </r>
    <r>
      <rPr>
        <b val="true"/>
        <sz val="10"/>
        <color rgb="FFFFFFFF"/>
        <rFont val="Arial"/>
        <family val="0"/>
        <charset val="1"/>
      </rPr>
      <t xml:space="preserve">6cm²/mL</t>
    </r>
  </si>
  <si>
    <r>
      <rPr>
        <b val="true"/>
        <sz val="10"/>
        <color rgb="FFFFFFFF"/>
        <rFont val="Noto Sans CJK SC"/>
        <family val="2"/>
      </rPr>
      <t xml:space="preserve">중량 </t>
    </r>
    <r>
      <rPr>
        <b val="true"/>
        <sz val="10"/>
        <color rgb="FFFFFFFF"/>
        <rFont val="Arial"/>
        <family val="0"/>
        <charset val="1"/>
      </rPr>
      <t xml:space="preserve">0.1g/mL</t>
    </r>
  </si>
  <si>
    <r>
      <rPr>
        <b val="true"/>
        <sz val="10"/>
        <color rgb="FFFFFFFF"/>
        <rFont val="Noto Sans CJK SC"/>
        <family val="2"/>
      </rPr>
      <t xml:space="preserve">중량 </t>
    </r>
    <r>
      <rPr>
        <b val="true"/>
        <sz val="10"/>
        <color rgb="FFFFFFFF"/>
        <rFont val="Arial"/>
        <family val="0"/>
        <charset val="1"/>
      </rPr>
      <t xml:space="preserve">0.2g/mL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</si>
</sst>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496"/>
      <name val="Noto Sans CJK SC"/>
      <family val="2"/>
    </font>
    <font>
      <b val="true"/>
      <sz val="13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7FB"/>
        <bgColor rgb="FFFFFFFF"/>
      </patternFill>
    </fill>
    <fill>
      <patternFill patternType="solid">
        <fgColor rgb="FFE2EFDA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45"/>
    <col collapsed="false" customWidth="true" hidden="false" outlineLevel="0" max="9" min="9" style="0" width="15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customFormat="false" ht="26.85" hidden="false" customHeight="false" outlineLevel="0" collapsed="false">
      <c r="A4" s="4" t="s">
        <v>11</v>
      </c>
      <c r="B4" s="4" t="s">
        <v>12</v>
      </c>
      <c r="C4" s="5" t="s">
        <v>13</v>
      </c>
      <c r="D4" s="5" t="s">
        <v>14</v>
      </c>
      <c r="E4" s="5" t="s">
        <v>15</v>
      </c>
      <c r="F4" s="4" t="s">
        <v>16</v>
      </c>
      <c r="G4" s="4" t="s">
        <v>17</v>
      </c>
      <c r="H4" s="5" t="s">
        <v>18</v>
      </c>
      <c r="I4" s="4"/>
      <c r="J4" s="5" t="s">
        <v>19</v>
      </c>
    </row>
    <row r="5" customFormat="false" ht="15" hidden="false" customHeight="false" outlineLevel="0" collapsed="false">
      <c r="A5" s="6" t="s">
        <v>20</v>
      </c>
      <c r="B5" s="6" t="s">
        <v>21</v>
      </c>
      <c r="C5" s="7" t="s">
        <v>13</v>
      </c>
      <c r="D5" s="7" t="s">
        <v>14</v>
      </c>
      <c r="E5" s="7" t="s">
        <v>22</v>
      </c>
      <c r="F5" s="6" t="s">
        <v>16</v>
      </c>
      <c r="G5" s="6" t="s">
        <v>17</v>
      </c>
      <c r="H5" s="7" t="s">
        <v>23</v>
      </c>
      <c r="I5" s="6"/>
      <c r="J5" s="7" t="s">
        <v>24</v>
      </c>
    </row>
    <row r="6" customFormat="false" ht="15" hidden="false" customHeight="false" outlineLevel="0" collapsed="false">
      <c r="A6" s="4" t="s">
        <v>25</v>
      </c>
      <c r="B6" s="4" t="s">
        <v>26</v>
      </c>
      <c r="C6" s="5" t="s">
        <v>13</v>
      </c>
      <c r="D6" s="5" t="s">
        <v>14</v>
      </c>
      <c r="E6" s="5" t="s">
        <v>27</v>
      </c>
      <c r="F6" s="4" t="s">
        <v>16</v>
      </c>
      <c r="G6" s="4" t="s">
        <v>17</v>
      </c>
      <c r="H6" s="5" t="s">
        <v>28</v>
      </c>
      <c r="I6" s="4"/>
      <c r="J6" s="5" t="s">
        <v>29</v>
      </c>
    </row>
    <row r="7" customFormat="false" ht="15" hidden="false" customHeight="false" outlineLevel="0" collapsed="false">
      <c r="A7" s="6" t="s">
        <v>30</v>
      </c>
      <c r="B7" s="6" t="s">
        <v>31</v>
      </c>
      <c r="C7" s="7" t="s">
        <v>13</v>
      </c>
      <c r="D7" s="7" t="s">
        <v>14</v>
      </c>
      <c r="E7" s="7" t="s">
        <v>32</v>
      </c>
      <c r="F7" s="6" t="s">
        <v>16</v>
      </c>
      <c r="G7" s="6" t="s">
        <v>17</v>
      </c>
      <c r="H7" s="7" t="s">
        <v>33</v>
      </c>
      <c r="I7" s="6"/>
      <c r="J7" s="7" t="s">
        <v>24</v>
      </c>
    </row>
    <row r="8" customFormat="false" ht="15" hidden="false" customHeight="false" outlineLevel="0" collapsed="false">
      <c r="A8" s="4" t="s">
        <v>34</v>
      </c>
      <c r="B8" s="4" t="s">
        <v>35</v>
      </c>
      <c r="C8" s="5" t="s">
        <v>13</v>
      </c>
      <c r="D8" s="5" t="s">
        <v>14</v>
      </c>
      <c r="E8" s="5" t="s">
        <v>36</v>
      </c>
      <c r="F8" s="4" t="s">
        <v>16</v>
      </c>
      <c r="G8" s="4" t="s">
        <v>17</v>
      </c>
      <c r="H8" s="5" t="s">
        <v>37</v>
      </c>
      <c r="I8" s="4"/>
      <c r="J8" s="5" t="s">
        <v>29</v>
      </c>
    </row>
    <row r="9" customFormat="false" ht="15" hidden="false" customHeight="false" outlineLevel="0" collapsed="false">
      <c r="A9" s="6" t="s">
        <v>38</v>
      </c>
      <c r="B9" s="6" t="s">
        <v>39</v>
      </c>
      <c r="C9" s="7" t="s">
        <v>13</v>
      </c>
      <c r="D9" s="7" t="s">
        <v>14</v>
      </c>
      <c r="E9" s="7" t="s">
        <v>40</v>
      </c>
      <c r="F9" s="6" t="s">
        <v>16</v>
      </c>
      <c r="G9" s="6" t="s">
        <v>17</v>
      </c>
      <c r="H9" s="7" t="s">
        <v>41</v>
      </c>
      <c r="I9" s="6"/>
      <c r="J9" s="6" t="s">
        <v>42</v>
      </c>
    </row>
    <row r="10" customFormat="false" ht="15" hidden="false" customHeight="false" outlineLevel="0" collapsed="false">
      <c r="A10" s="4" t="s">
        <v>43</v>
      </c>
      <c r="B10" s="4" t="s">
        <v>44</v>
      </c>
      <c r="C10" s="5" t="s">
        <v>13</v>
      </c>
      <c r="D10" s="5" t="s">
        <v>14</v>
      </c>
      <c r="E10" s="5" t="s">
        <v>45</v>
      </c>
      <c r="F10" s="4" t="s">
        <v>16</v>
      </c>
      <c r="G10" s="4" t="s">
        <v>17</v>
      </c>
      <c r="H10" s="5" t="s">
        <v>46</v>
      </c>
      <c r="I10" s="4"/>
      <c r="J10" s="4" t="s">
        <v>47</v>
      </c>
    </row>
    <row r="11" customFormat="false" ht="15" hidden="false" customHeight="false" outlineLevel="0" collapsed="false">
      <c r="A11" s="6" t="s">
        <v>48</v>
      </c>
      <c r="B11" s="6" t="s">
        <v>49</v>
      </c>
      <c r="C11" s="7" t="s">
        <v>13</v>
      </c>
      <c r="D11" s="7" t="s">
        <v>14</v>
      </c>
      <c r="E11" s="7" t="s">
        <v>50</v>
      </c>
      <c r="F11" s="6" t="s">
        <v>16</v>
      </c>
      <c r="G11" s="6" t="s">
        <v>17</v>
      </c>
      <c r="H11" s="7" t="s">
        <v>51</v>
      </c>
      <c r="I11" s="6"/>
      <c r="J11" s="7" t="s">
        <v>24</v>
      </c>
    </row>
    <row r="12" customFormat="false" ht="15" hidden="false" customHeight="false" outlineLevel="0" collapsed="false">
      <c r="A12" s="4" t="s">
        <v>52</v>
      </c>
      <c r="B12" s="4" t="s">
        <v>53</v>
      </c>
      <c r="C12" s="5" t="s">
        <v>13</v>
      </c>
      <c r="D12" s="5" t="s">
        <v>14</v>
      </c>
      <c r="E12" s="5" t="s">
        <v>54</v>
      </c>
      <c r="F12" s="4" t="s">
        <v>16</v>
      </c>
      <c r="G12" s="4" t="s">
        <v>17</v>
      </c>
      <c r="H12" s="5" t="s">
        <v>55</v>
      </c>
      <c r="I12" s="4"/>
      <c r="J12" s="5" t="s">
        <v>29</v>
      </c>
    </row>
    <row r="13" customFormat="false" ht="15" hidden="false" customHeight="false" outlineLevel="0" collapsed="false">
      <c r="A13" s="6" t="s">
        <v>56</v>
      </c>
      <c r="B13" s="6" t="s">
        <v>57</v>
      </c>
      <c r="C13" s="7" t="s">
        <v>13</v>
      </c>
      <c r="D13" s="7" t="s">
        <v>14</v>
      </c>
      <c r="E13" s="7" t="s">
        <v>58</v>
      </c>
      <c r="F13" s="6" t="s">
        <v>16</v>
      </c>
      <c r="G13" s="6" t="s">
        <v>17</v>
      </c>
      <c r="H13" s="7" t="s">
        <v>59</v>
      </c>
      <c r="I13" s="6"/>
      <c r="J13" s="6" t="s">
        <v>60</v>
      </c>
    </row>
    <row r="14" customFormat="false" ht="15" hidden="false" customHeight="false" outlineLevel="0" collapsed="false">
      <c r="A14" s="4" t="s">
        <v>61</v>
      </c>
      <c r="B14" s="4" t="s">
        <v>62</v>
      </c>
      <c r="C14" s="5" t="s">
        <v>13</v>
      </c>
      <c r="D14" s="5" t="s">
        <v>14</v>
      </c>
      <c r="E14" s="5" t="s">
        <v>63</v>
      </c>
      <c r="F14" s="4" t="s">
        <v>16</v>
      </c>
      <c r="G14" s="4" t="s">
        <v>64</v>
      </c>
      <c r="H14" s="5" t="s">
        <v>65</v>
      </c>
      <c r="I14" s="4"/>
      <c r="J14" s="5" t="s">
        <v>66</v>
      </c>
    </row>
    <row r="15" customFormat="false" ht="15" hidden="false" customHeight="false" outlineLevel="0" collapsed="false">
      <c r="A15" s="6" t="s">
        <v>67</v>
      </c>
      <c r="B15" s="6" t="s">
        <v>68</v>
      </c>
      <c r="C15" s="7" t="s">
        <v>13</v>
      </c>
      <c r="D15" s="7" t="s">
        <v>14</v>
      </c>
      <c r="E15" s="7" t="s">
        <v>69</v>
      </c>
      <c r="F15" s="6" t="s">
        <v>16</v>
      </c>
      <c r="G15" s="6" t="s">
        <v>64</v>
      </c>
      <c r="H15" s="7" t="s">
        <v>70</v>
      </c>
      <c r="I15" s="6"/>
      <c r="J15" s="7" t="s">
        <v>71</v>
      </c>
    </row>
    <row r="16" customFormat="false" ht="15" hidden="false" customHeight="false" outlineLevel="0" collapsed="false">
      <c r="A16" s="4" t="s">
        <v>72</v>
      </c>
      <c r="B16" s="4" t="s">
        <v>73</v>
      </c>
      <c r="C16" s="5" t="s">
        <v>13</v>
      </c>
      <c r="D16" s="5" t="s">
        <v>14</v>
      </c>
      <c r="E16" s="5" t="s">
        <v>74</v>
      </c>
      <c r="F16" s="4" t="s">
        <v>16</v>
      </c>
      <c r="G16" s="4" t="s">
        <v>64</v>
      </c>
      <c r="H16" s="5" t="s">
        <v>75</v>
      </c>
      <c r="I16" s="4"/>
      <c r="J16" s="4" t="s">
        <v>76</v>
      </c>
    </row>
    <row r="17" customFormat="false" ht="15" hidden="false" customHeight="false" outlineLevel="0" collapsed="false">
      <c r="A17" s="6" t="s">
        <v>77</v>
      </c>
      <c r="B17" s="6" t="s">
        <v>78</v>
      </c>
      <c r="C17" s="7" t="s">
        <v>13</v>
      </c>
      <c r="D17" s="7" t="s">
        <v>14</v>
      </c>
      <c r="E17" s="7" t="s">
        <v>79</v>
      </c>
      <c r="F17" s="6" t="s">
        <v>16</v>
      </c>
      <c r="G17" s="6" t="s">
        <v>64</v>
      </c>
      <c r="H17" s="7" t="s">
        <v>80</v>
      </c>
      <c r="I17" s="6"/>
      <c r="J17" s="7" t="s">
        <v>81</v>
      </c>
    </row>
    <row r="18" customFormat="false" ht="15" hidden="false" customHeight="false" outlineLevel="0" collapsed="false">
      <c r="A18" s="4" t="s">
        <v>82</v>
      </c>
      <c r="B18" s="4" t="s">
        <v>83</v>
      </c>
      <c r="C18" s="5" t="s">
        <v>13</v>
      </c>
      <c r="D18" s="5" t="s">
        <v>14</v>
      </c>
      <c r="E18" s="5" t="s">
        <v>84</v>
      </c>
      <c r="F18" s="4" t="s">
        <v>16</v>
      </c>
      <c r="G18" s="4" t="s">
        <v>64</v>
      </c>
      <c r="H18" s="5" t="s">
        <v>85</v>
      </c>
      <c r="I18" s="4"/>
      <c r="J18" s="4" t="s">
        <v>86</v>
      </c>
    </row>
    <row r="19" customFormat="false" ht="15" hidden="false" customHeight="false" outlineLevel="0" collapsed="false">
      <c r="A19" s="6" t="s">
        <v>87</v>
      </c>
      <c r="B19" s="6" t="s">
        <v>88</v>
      </c>
      <c r="C19" s="7" t="s">
        <v>13</v>
      </c>
      <c r="D19" s="7" t="s">
        <v>14</v>
      </c>
      <c r="E19" s="7" t="s">
        <v>89</v>
      </c>
      <c r="F19" s="6" t="s">
        <v>16</v>
      </c>
      <c r="G19" s="6" t="s">
        <v>64</v>
      </c>
      <c r="H19" s="7" t="s">
        <v>80</v>
      </c>
      <c r="I19" s="6"/>
      <c r="J19" s="6" t="s">
        <v>90</v>
      </c>
    </row>
    <row r="20" customFormat="false" ht="15" hidden="false" customHeight="false" outlineLevel="0" collapsed="false">
      <c r="A20" s="4" t="s">
        <v>91</v>
      </c>
      <c r="B20" s="4" t="s">
        <v>92</v>
      </c>
      <c r="C20" s="5" t="s">
        <v>13</v>
      </c>
      <c r="D20" s="5" t="s">
        <v>93</v>
      </c>
      <c r="E20" s="5" t="s">
        <v>94</v>
      </c>
      <c r="F20" s="4" t="s">
        <v>16</v>
      </c>
      <c r="G20" s="4" t="s">
        <v>17</v>
      </c>
      <c r="H20" s="5" t="s">
        <v>95</v>
      </c>
      <c r="I20" s="4"/>
      <c r="J20" s="4"/>
    </row>
    <row r="21" customFormat="false" ht="15" hidden="false" customHeight="false" outlineLevel="0" collapsed="false">
      <c r="A21" s="6" t="s">
        <v>96</v>
      </c>
      <c r="B21" s="6" t="s">
        <v>97</v>
      </c>
      <c r="C21" s="7" t="s">
        <v>13</v>
      </c>
      <c r="D21" s="7" t="s">
        <v>93</v>
      </c>
      <c r="E21" s="7" t="s">
        <v>98</v>
      </c>
      <c r="F21" s="6" t="s">
        <v>16</v>
      </c>
      <c r="G21" s="6" t="s">
        <v>17</v>
      </c>
      <c r="H21" s="7" t="s">
        <v>99</v>
      </c>
      <c r="I21" s="6"/>
      <c r="J21" s="6"/>
    </row>
    <row r="22" customFormat="false" ht="15" hidden="false" customHeight="false" outlineLevel="0" collapsed="false">
      <c r="A22" s="4" t="s">
        <v>100</v>
      </c>
      <c r="B22" s="4" t="s">
        <v>101</v>
      </c>
      <c r="C22" s="5" t="s">
        <v>13</v>
      </c>
      <c r="D22" s="5" t="s">
        <v>93</v>
      </c>
      <c r="E22" s="5" t="s">
        <v>102</v>
      </c>
      <c r="F22" s="4" t="s">
        <v>16</v>
      </c>
      <c r="G22" s="4" t="s">
        <v>17</v>
      </c>
      <c r="H22" s="5" t="s">
        <v>103</v>
      </c>
      <c r="I22" s="4"/>
      <c r="J22" s="4"/>
    </row>
    <row r="23" customFormat="false" ht="15" hidden="false" customHeight="false" outlineLevel="0" collapsed="false">
      <c r="A23" s="6" t="s">
        <v>104</v>
      </c>
      <c r="B23" s="6" t="s">
        <v>105</v>
      </c>
      <c r="C23" s="7" t="s">
        <v>13</v>
      </c>
      <c r="D23" s="7" t="s">
        <v>93</v>
      </c>
      <c r="E23" s="7" t="s">
        <v>106</v>
      </c>
      <c r="F23" s="6" t="s">
        <v>16</v>
      </c>
      <c r="G23" s="6" t="s">
        <v>17</v>
      </c>
      <c r="H23" s="7" t="s">
        <v>107</v>
      </c>
      <c r="I23" s="6"/>
      <c r="J23" s="6"/>
    </row>
    <row r="24" customFormat="false" ht="15" hidden="false" customHeight="false" outlineLevel="0" collapsed="false">
      <c r="A24" s="4" t="s">
        <v>108</v>
      </c>
      <c r="B24" s="4" t="s">
        <v>109</v>
      </c>
      <c r="C24" s="5" t="s">
        <v>13</v>
      </c>
      <c r="D24" s="5" t="s">
        <v>93</v>
      </c>
      <c r="E24" s="5" t="s">
        <v>110</v>
      </c>
      <c r="F24" s="4" t="s">
        <v>16</v>
      </c>
      <c r="G24" s="4" t="s">
        <v>17</v>
      </c>
      <c r="H24" s="5" t="s">
        <v>111</v>
      </c>
      <c r="I24" s="4"/>
      <c r="J24" s="4"/>
    </row>
    <row r="25" customFormat="false" ht="15" hidden="false" customHeight="false" outlineLevel="0" collapsed="false">
      <c r="A25" s="6" t="s">
        <v>112</v>
      </c>
      <c r="B25" s="6" t="s">
        <v>113</v>
      </c>
      <c r="C25" s="7" t="s">
        <v>13</v>
      </c>
      <c r="D25" s="7" t="s">
        <v>93</v>
      </c>
      <c r="E25" s="7" t="s">
        <v>114</v>
      </c>
      <c r="F25" s="6" t="s">
        <v>16</v>
      </c>
      <c r="G25" s="6" t="s">
        <v>115</v>
      </c>
      <c r="H25" s="7" t="s">
        <v>116</v>
      </c>
      <c r="I25" s="6"/>
      <c r="J25" s="6"/>
    </row>
    <row r="26" customFormat="false" ht="15" hidden="false" customHeight="false" outlineLevel="0" collapsed="false">
      <c r="A26" s="4" t="s">
        <v>117</v>
      </c>
      <c r="B26" s="4" t="s">
        <v>118</v>
      </c>
      <c r="C26" s="5" t="s">
        <v>13</v>
      </c>
      <c r="D26" s="5" t="s">
        <v>93</v>
      </c>
      <c r="E26" s="5" t="s">
        <v>119</v>
      </c>
      <c r="F26" s="4" t="s">
        <v>16</v>
      </c>
      <c r="G26" s="4" t="s">
        <v>115</v>
      </c>
      <c r="H26" s="5" t="s">
        <v>120</v>
      </c>
      <c r="I26" s="4"/>
      <c r="J26" s="4"/>
    </row>
    <row r="27" customFormat="false" ht="15" hidden="false" customHeight="false" outlineLevel="0" collapsed="false">
      <c r="A27" s="6" t="s">
        <v>121</v>
      </c>
      <c r="B27" s="6" t="s">
        <v>122</v>
      </c>
      <c r="C27" s="7" t="s">
        <v>13</v>
      </c>
      <c r="D27" s="7" t="s">
        <v>123</v>
      </c>
      <c r="E27" s="7" t="s">
        <v>124</v>
      </c>
      <c r="F27" s="6" t="s">
        <v>125</v>
      </c>
      <c r="G27" s="6"/>
      <c r="H27" s="6" t="s">
        <v>126</v>
      </c>
      <c r="I27" s="6"/>
      <c r="J27" s="7" t="s">
        <v>127</v>
      </c>
    </row>
    <row r="28" customFormat="false" ht="15" hidden="false" customHeight="false" outlineLevel="0" collapsed="false">
      <c r="A28" s="4" t="s">
        <v>128</v>
      </c>
      <c r="B28" s="4" t="s">
        <v>129</v>
      </c>
      <c r="C28" s="5" t="s">
        <v>13</v>
      </c>
      <c r="D28" s="5" t="s">
        <v>130</v>
      </c>
      <c r="E28" s="5" t="s">
        <v>131</v>
      </c>
      <c r="F28" s="4" t="s">
        <v>125</v>
      </c>
      <c r="G28" s="4"/>
      <c r="H28" s="4" t="s">
        <v>132</v>
      </c>
      <c r="I28" s="4"/>
      <c r="J28" s="4" t="s">
        <v>133</v>
      </c>
    </row>
    <row r="29" customFormat="false" ht="22.35" hidden="false" customHeight="false" outlineLevel="0" collapsed="false">
      <c r="A29" s="6" t="s">
        <v>134</v>
      </c>
      <c r="B29" s="6" t="s">
        <v>135</v>
      </c>
      <c r="C29" s="7" t="s">
        <v>13</v>
      </c>
      <c r="D29" s="7" t="s">
        <v>130</v>
      </c>
      <c r="E29" s="7" t="s">
        <v>136</v>
      </c>
      <c r="F29" s="6" t="s">
        <v>125</v>
      </c>
      <c r="G29" s="6"/>
      <c r="H29" s="6" t="s">
        <v>137</v>
      </c>
      <c r="I29" s="6"/>
      <c r="J29" s="7" t="s">
        <v>138</v>
      </c>
    </row>
    <row r="30" customFormat="false" ht="15" hidden="false" customHeight="false" outlineLevel="0" collapsed="false">
      <c r="A30" s="4" t="s">
        <v>139</v>
      </c>
      <c r="B30" s="4" t="s">
        <v>140</v>
      </c>
      <c r="C30" s="5" t="s">
        <v>141</v>
      </c>
      <c r="D30" s="5" t="s">
        <v>142</v>
      </c>
      <c r="E30" s="5" t="s">
        <v>143</v>
      </c>
      <c r="F30" s="4" t="s">
        <v>144</v>
      </c>
      <c r="G30" s="4"/>
      <c r="H30" s="5" t="s">
        <v>145</v>
      </c>
      <c r="I30" s="4" t="s">
        <v>146</v>
      </c>
      <c r="J30" s="5" t="s">
        <v>147</v>
      </c>
    </row>
    <row r="31" customFormat="false" ht="15" hidden="false" customHeight="false" outlineLevel="0" collapsed="false">
      <c r="A31" s="6" t="s">
        <v>148</v>
      </c>
      <c r="B31" s="6" t="s">
        <v>149</v>
      </c>
      <c r="C31" s="7" t="s">
        <v>141</v>
      </c>
      <c r="D31" s="7" t="s">
        <v>142</v>
      </c>
      <c r="E31" s="7" t="s">
        <v>150</v>
      </c>
      <c r="F31" s="6" t="s">
        <v>144</v>
      </c>
      <c r="G31" s="6"/>
      <c r="H31" s="7" t="s">
        <v>151</v>
      </c>
      <c r="I31" s="6" t="s">
        <v>146</v>
      </c>
      <c r="J31" s="7" t="s">
        <v>147</v>
      </c>
    </row>
    <row r="32" customFormat="false" ht="15" hidden="false" customHeight="false" outlineLevel="0" collapsed="false">
      <c r="A32" s="4" t="s">
        <v>152</v>
      </c>
      <c r="B32" s="4" t="s">
        <v>153</v>
      </c>
      <c r="C32" s="5" t="s">
        <v>141</v>
      </c>
      <c r="D32" s="5" t="s">
        <v>142</v>
      </c>
      <c r="E32" s="5" t="s">
        <v>154</v>
      </c>
      <c r="F32" s="4" t="s">
        <v>144</v>
      </c>
      <c r="G32" s="4"/>
      <c r="H32" s="5" t="s">
        <v>155</v>
      </c>
      <c r="I32" s="4" t="s">
        <v>146</v>
      </c>
      <c r="J32" s="5" t="s">
        <v>147</v>
      </c>
    </row>
    <row r="33" customFormat="false" ht="15" hidden="false" customHeight="false" outlineLevel="0" collapsed="false">
      <c r="A33" s="6" t="s">
        <v>137</v>
      </c>
      <c r="B33" s="6" t="s">
        <v>156</v>
      </c>
      <c r="C33" s="7" t="s">
        <v>141</v>
      </c>
      <c r="D33" s="7" t="s">
        <v>142</v>
      </c>
      <c r="E33" s="7" t="s">
        <v>157</v>
      </c>
      <c r="F33" s="6" t="s">
        <v>144</v>
      </c>
      <c r="G33" s="6"/>
      <c r="H33" s="7" t="s">
        <v>158</v>
      </c>
      <c r="I33" s="6" t="s">
        <v>146</v>
      </c>
      <c r="J33" s="7" t="s">
        <v>147</v>
      </c>
    </row>
    <row r="34" customFormat="false" ht="15" hidden="false" customHeight="false" outlineLevel="0" collapsed="false">
      <c r="A34" s="4" t="s">
        <v>159</v>
      </c>
      <c r="B34" s="4" t="s">
        <v>160</v>
      </c>
      <c r="C34" s="5" t="s">
        <v>141</v>
      </c>
      <c r="D34" s="5" t="s">
        <v>142</v>
      </c>
      <c r="E34" s="5" t="s">
        <v>161</v>
      </c>
      <c r="F34" s="4" t="s">
        <v>144</v>
      </c>
      <c r="G34" s="4"/>
      <c r="H34" s="5" t="s">
        <v>162</v>
      </c>
      <c r="I34" s="4" t="s">
        <v>146</v>
      </c>
      <c r="J34" s="5" t="s">
        <v>147</v>
      </c>
    </row>
    <row r="35" customFormat="false" ht="22.35" hidden="false" customHeight="false" outlineLevel="0" collapsed="false">
      <c r="A35" s="6" t="s">
        <v>163</v>
      </c>
      <c r="B35" s="6" t="s">
        <v>164</v>
      </c>
      <c r="C35" s="7" t="s">
        <v>165</v>
      </c>
      <c r="D35" s="7" t="s">
        <v>142</v>
      </c>
      <c r="E35" s="7" t="s">
        <v>166</v>
      </c>
      <c r="F35" s="6" t="s">
        <v>167</v>
      </c>
      <c r="G35" s="6"/>
      <c r="H35" s="7" t="s">
        <v>168</v>
      </c>
      <c r="I35" s="6" t="s">
        <v>146</v>
      </c>
      <c r="J35" s="7" t="s">
        <v>169</v>
      </c>
    </row>
    <row r="36" customFormat="false" ht="22.35" hidden="false" customHeight="false" outlineLevel="0" collapsed="false">
      <c r="A36" s="4" t="s">
        <v>170</v>
      </c>
      <c r="B36" s="4" t="s">
        <v>171</v>
      </c>
      <c r="C36" s="5" t="s">
        <v>165</v>
      </c>
      <c r="D36" s="5" t="s">
        <v>142</v>
      </c>
      <c r="E36" s="5" t="s">
        <v>172</v>
      </c>
      <c r="F36" s="4" t="s">
        <v>167</v>
      </c>
      <c r="G36" s="4"/>
      <c r="H36" s="5" t="s">
        <v>173</v>
      </c>
      <c r="I36" s="4" t="s">
        <v>146</v>
      </c>
      <c r="J36" s="5" t="s">
        <v>174</v>
      </c>
    </row>
    <row r="37" customFormat="false" ht="22.35" hidden="false" customHeight="false" outlineLevel="0" collapsed="false">
      <c r="A37" s="6" t="s">
        <v>175</v>
      </c>
      <c r="B37" s="6" t="s">
        <v>176</v>
      </c>
      <c r="C37" s="7" t="s">
        <v>165</v>
      </c>
      <c r="D37" s="7" t="s">
        <v>142</v>
      </c>
      <c r="E37" s="7" t="s">
        <v>177</v>
      </c>
      <c r="F37" s="6" t="s">
        <v>167</v>
      </c>
      <c r="G37" s="6"/>
      <c r="H37" s="7" t="s">
        <v>178</v>
      </c>
      <c r="I37" s="6" t="s">
        <v>146</v>
      </c>
      <c r="J37" s="6"/>
    </row>
    <row r="38" customFormat="false" ht="22.35" hidden="false" customHeight="false" outlineLevel="0" collapsed="false">
      <c r="A38" s="4" t="s">
        <v>179</v>
      </c>
      <c r="B38" s="4" t="s">
        <v>180</v>
      </c>
      <c r="C38" s="5" t="s">
        <v>165</v>
      </c>
      <c r="D38" s="5" t="s">
        <v>142</v>
      </c>
      <c r="E38" s="5" t="s">
        <v>181</v>
      </c>
      <c r="F38" s="4" t="s">
        <v>167</v>
      </c>
      <c r="G38" s="4"/>
      <c r="H38" s="5" t="s">
        <v>182</v>
      </c>
      <c r="I38" s="4" t="s">
        <v>146</v>
      </c>
      <c r="J38" s="4"/>
    </row>
    <row r="39" customFormat="false" ht="22.35" hidden="false" customHeight="false" outlineLevel="0" collapsed="false">
      <c r="A39" s="6" t="s">
        <v>183</v>
      </c>
      <c r="B39" s="6" t="s">
        <v>184</v>
      </c>
      <c r="C39" s="7" t="s">
        <v>165</v>
      </c>
      <c r="D39" s="7" t="s">
        <v>142</v>
      </c>
      <c r="E39" s="7" t="s">
        <v>185</v>
      </c>
      <c r="F39" s="6" t="s">
        <v>167</v>
      </c>
      <c r="G39" s="6"/>
      <c r="H39" s="7" t="s">
        <v>168</v>
      </c>
      <c r="I39" s="6" t="s">
        <v>146</v>
      </c>
      <c r="J39" s="7" t="s">
        <v>169</v>
      </c>
    </row>
    <row r="40" customFormat="false" ht="22.35" hidden="false" customHeight="false" outlineLevel="0" collapsed="false">
      <c r="A40" s="4" t="s">
        <v>186</v>
      </c>
      <c r="B40" s="4" t="s">
        <v>187</v>
      </c>
      <c r="C40" s="5" t="s">
        <v>165</v>
      </c>
      <c r="D40" s="5" t="s">
        <v>142</v>
      </c>
      <c r="E40" s="5" t="s">
        <v>188</v>
      </c>
      <c r="F40" s="4" t="s">
        <v>167</v>
      </c>
      <c r="G40" s="4"/>
      <c r="H40" s="5" t="s">
        <v>182</v>
      </c>
      <c r="I40" s="4" t="s">
        <v>146</v>
      </c>
      <c r="J40" s="4"/>
    </row>
    <row r="41" customFormat="false" ht="22.35" hidden="false" customHeight="false" outlineLevel="0" collapsed="false">
      <c r="A41" s="6" t="s">
        <v>189</v>
      </c>
      <c r="B41" s="6" t="s">
        <v>190</v>
      </c>
      <c r="C41" s="7" t="s">
        <v>165</v>
      </c>
      <c r="D41" s="7" t="s">
        <v>142</v>
      </c>
      <c r="E41" s="7" t="s">
        <v>191</v>
      </c>
      <c r="F41" s="6" t="s">
        <v>167</v>
      </c>
      <c r="G41" s="6"/>
      <c r="H41" s="7" t="s">
        <v>192</v>
      </c>
      <c r="I41" s="6" t="s">
        <v>146</v>
      </c>
      <c r="J41" s="6" t="s">
        <v>193</v>
      </c>
    </row>
    <row r="42" customFormat="false" ht="22.35" hidden="false" customHeight="false" outlineLevel="0" collapsed="false">
      <c r="A42" s="4" t="s">
        <v>194</v>
      </c>
      <c r="B42" s="4" t="s">
        <v>195</v>
      </c>
      <c r="C42" s="5" t="s">
        <v>165</v>
      </c>
      <c r="D42" s="5" t="s">
        <v>142</v>
      </c>
      <c r="E42" s="5" t="s">
        <v>196</v>
      </c>
      <c r="F42" s="4" t="s">
        <v>167</v>
      </c>
      <c r="G42" s="4"/>
      <c r="H42" s="5" t="s">
        <v>197</v>
      </c>
      <c r="I42" s="4" t="s">
        <v>146</v>
      </c>
      <c r="J42" s="4" t="s">
        <v>193</v>
      </c>
    </row>
    <row r="43" customFormat="false" ht="22.35" hidden="false" customHeight="false" outlineLevel="0" collapsed="false">
      <c r="A43" s="6" t="s">
        <v>198</v>
      </c>
      <c r="B43" s="6" t="s">
        <v>199</v>
      </c>
      <c r="C43" s="7" t="s">
        <v>165</v>
      </c>
      <c r="D43" s="7" t="s">
        <v>142</v>
      </c>
      <c r="E43" s="7" t="s">
        <v>200</v>
      </c>
      <c r="F43" s="6" t="s">
        <v>167</v>
      </c>
      <c r="G43" s="6"/>
      <c r="H43" s="7" t="s">
        <v>201</v>
      </c>
      <c r="I43" s="6" t="s">
        <v>146</v>
      </c>
      <c r="J43" s="6" t="s">
        <v>193</v>
      </c>
    </row>
    <row r="44" customFormat="false" ht="22.35" hidden="false" customHeight="false" outlineLevel="0" collapsed="false">
      <c r="A44" s="4" t="s">
        <v>202</v>
      </c>
      <c r="B44" s="4" t="s">
        <v>203</v>
      </c>
      <c r="C44" s="5" t="s">
        <v>165</v>
      </c>
      <c r="D44" s="5" t="s">
        <v>142</v>
      </c>
      <c r="E44" s="5" t="s">
        <v>204</v>
      </c>
      <c r="F44" s="4" t="s">
        <v>167</v>
      </c>
      <c r="G44" s="4"/>
      <c r="H44" s="5" t="s">
        <v>205</v>
      </c>
      <c r="I44" s="4" t="s">
        <v>146</v>
      </c>
      <c r="J44" s="4" t="s">
        <v>193</v>
      </c>
    </row>
    <row r="45" customFormat="false" ht="22.35" hidden="false" customHeight="false" outlineLevel="0" collapsed="false">
      <c r="A45" s="6" t="s">
        <v>206</v>
      </c>
      <c r="B45" s="6" t="s">
        <v>207</v>
      </c>
      <c r="C45" s="7" t="s">
        <v>165</v>
      </c>
      <c r="D45" s="7" t="s">
        <v>142</v>
      </c>
      <c r="E45" s="7" t="s">
        <v>208</v>
      </c>
      <c r="F45" s="6" t="s">
        <v>167</v>
      </c>
      <c r="G45" s="6"/>
      <c r="H45" s="7" t="s">
        <v>209</v>
      </c>
      <c r="I45" s="6" t="s">
        <v>146</v>
      </c>
      <c r="J45" s="7" t="s">
        <v>210</v>
      </c>
    </row>
    <row r="46" customFormat="false" ht="22.35" hidden="false" customHeight="false" outlineLevel="0" collapsed="false">
      <c r="A46" s="4" t="s">
        <v>211</v>
      </c>
      <c r="B46" s="4" t="s">
        <v>212</v>
      </c>
      <c r="C46" s="5" t="s">
        <v>165</v>
      </c>
      <c r="D46" s="5" t="s">
        <v>142</v>
      </c>
      <c r="E46" s="5" t="s">
        <v>213</v>
      </c>
      <c r="F46" s="4" t="s">
        <v>167</v>
      </c>
      <c r="G46" s="4"/>
      <c r="H46" s="5" t="s">
        <v>214</v>
      </c>
      <c r="I46" s="4" t="s">
        <v>146</v>
      </c>
      <c r="J46" s="5" t="s">
        <v>210</v>
      </c>
    </row>
    <row r="47" customFormat="false" ht="22.35" hidden="false" customHeight="false" outlineLevel="0" collapsed="false">
      <c r="A47" s="6" t="s">
        <v>132</v>
      </c>
      <c r="B47" s="6" t="s">
        <v>215</v>
      </c>
      <c r="C47" s="7" t="s">
        <v>165</v>
      </c>
      <c r="D47" s="7" t="s">
        <v>142</v>
      </c>
      <c r="E47" s="7" t="s">
        <v>216</v>
      </c>
      <c r="F47" s="6" t="s">
        <v>167</v>
      </c>
      <c r="G47" s="6"/>
      <c r="H47" s="7" t="s">
        <v>217</v>
      </c>
      <c r="I47" s="6" t="s">
        <v>146</v>
      </c>
      <c r="J47" s="6"/>
    </row>
    <row r="48" customFormat="false" ht="22.35" hidden="false" customHeight="false" outlineLevel="0" collapsed="false">
      <c r="A48" s="4" t="s">
        <v>218</v>
      </c>
      <c r="B48" s="4" t="s">
        <v>219</v>
      </c>
      <c r="C48" s="5" t="s">
        <v>165</v>
      </c>
      <c r="D48" s="5" t="s">
        <v>142</v>
      </c>
      <c r="E48" s="5" t="s">
        <v>220</v>
      </c>
      <c r="F48" s="4" t="s">
        <v>167</v>
      </c>
      <c r="G48" s="4"/>
      <c r="H48" s="5" t="s">
        <v>173</v>
      </c>
      <c r="I48" s="4" t="s">
        <v>146</v>
      </c>
      <c r="J48" s="4" t="s">
        <v>221</v>
      </c>
    </row>
    <row r="49" customFormat="false" ht="22.35" hidden="false" customHeight="false" outlineLevel="0" collapsed="false">
      <c r="A49" s="6" t="s">
        <v>222</v>
      </c>
      <c r="B49" s="6" t="s">
        <v>223</v>
      </c>
      <c r="C49" s="7" t="s">
        <v>165</v>
      </c>
      <c r="D49" s="7" t="s">
        <v>142</v>
      </c>
      <c r="E49" s="7" t="s">
        <v>224</v>
      </c>
      <c r="F49" s="6" t="s">
        <v>167</v>
      </c>
      <c r="G49" s="6"/>
      <c r="H49" s="7" t="s">
        <v>225</v>
      </c>
      <c r="I49" s="6" t="s">
        <v>146</v>
      </c>
      <c r="J49" s="6"/>
    </row>
    <row r="50" customFormat="false" ht="22.35" hidden="false" customHeight="false" outlineLevel="0" collapsed="false">
      <c r="A50" s="4" t="s">
        <v>226</v>
      </c>
      <c r="B50" s="4" t="s">
        <v>227</v>
      </c>
      <c r="C50" s="5" t="s">
        <v>165</v>
      </c>
      <c r="D50" s="5" t="s">
        <v>142</v>
      </c>
      <c r="E50" s="5" t="s">
        <v>228</v>
      </c>
      <c r="F50" s="4" t="s">
        <v>167</v>
      </c>
      <c r="G50" s="4"/>
      <c r="H50" s="5" t="s">
        <v>229</v>
      </c>
      <c r="I50" s="4" t="s">
        <v>146</v>
      </c>
      <c r="J50" s="4" t="s">
        <v>230</v>
      </c>
    </row>
    <row r="51" customFormat="false" ht="22.35" hidden="false" customHeight="false" outlineLevel="0" collapsed="false">
      <c r="A51" s="6" t="s">
        <v>231</v>
      </c>
      <c r="B51" s="6" t="s">
        <v>232</v>
      </c>
      <c r="C51" s="7" t="s">
        <v>165</v>
      </c>
      <c r="D51" s="7" t="s">
        <v>142</v>
      </c>
      <c r="E51" s="7" t="s">
        <v>233</v>
      </c>
      <c r="F51" s="6" t="s">
        <v>167</v>
      </c>
      <c r="G51" s="6"/>
      <c r="H51" s="7" t="s">
        <v>234</v>
      </c>
      <c r="I51" s="6" t="s">
        <v>146</v>
      </c>
      <c r="J51" s="6" t="s">
        <v>230</v>
      </c>
    </row>
    <row r="52" customFormat="false" ht="22.35" hidden="false" customHeight="false" outlineLevel="0" collapsed="false">
      <c r="A52" s="4" t="s">
        <v>235</v>
      </c>
      <c r="B52" s="4" t="s">
        <v>236</v>
      </c>
      <c r="C52" s="5" t="s">
        <v>165</v>
      </c>
      <c r="D52" s="5" t="s">
        <v>142</v>
      </c>
      <c r="E52" s="5" t="s">
        <v>237</v>
      </c>
      <c r="F52" s="4" t="s">
        <v>167</v>
      </c>
      <c r="G52" s="4"/>
      <c r="H52" s="5" t="s">
        <v>238</v>
      </c>
      <c r="I52" s="4" t="s">
        <v>146</v>
      </c>
      <c r="J52" s="4" t="s">
        <v>239</v>
      </c>
    </row>
    <row r="53" customFormat="false" ht="22.35" hidden="false" customHeight="false" outlineLevel="0" collapsed="false">
      <c r="A53" s="6" t="s">
        <v>240</v>
      </c>
      <c r="B53" s="6" t="s">
        <v>241</v>
      </c>
      <c r="C53" s="7" t="s">
        <v>165</v>
      </c>
      <c r="D53" s="7" t="s">
        <v>242</v>
      </c>
      <c r="E53" s="7" t="s">
        <v>243</v>
      </c>
      <c r="F53" s="6" t="s">
        <v>167</v>
      </c>
      <c r="G53" s="6"/>
      <c r="H53" s="7" t="s">
        <v>244</v>
      </c>
      <c r="I53" s="6" t="s">
        <v>146</v>
      </c>
      <c r="J53" s="7" t="s">
        <v>245</v>
      </c>
    </row>
    <row r="54" customFormat="false" ht="22.35" hidden="false" customHeight="false" outlineLevel="0" collapsed="false">
      <c r="A54" s="4" t="s">
        <v>246</v>
      </c>
      <c r="B54" s="4" t="s">
        <v>247</v>
      </c>
      <c r="C54" s="5" t="s">
        <v>165</v>
      </c>
      <c r="D54" s="5" t="s">
        <v>242</v>
      </c>
      <c r="E54" s="5" t="s">
        <v>248</v>
      </c>
      <c r="F54" s="4" t="s">
        <v>167</v>
      </c>
      <c r="G54" s="4"/>
      <c r="H54" s="5" t="s">
        <v>244</v>
      </c>
      <c r="I54" s="4" t="s">
        <v>146</v>
      </c>
      <c r="J54" s="5" t="s">
        <v>245</v>
      </c>
    </row>
    <row r="55" customFormat="false" ht="22.35" hidden="false" customHeight="false" outlineLevel="0" collapsed="false">
      <c r="A55" s="6" t="s">
        <v>249</v>
      </c>
      <c r="B55" s="6" t="s">
        <v>250</v>
      </c>
      <c r="C55" s="7" t="s">
        <v>165</v>
      </c>
      <c r="D55" s="7" t="s">
        <v>242</v>
      </c>
      <c r="E55" s="7" t="s">
        <v>251</v>
      </c>
      <c r="F55" s="6" t="s">
        <v>167</v>
      </c>
      <c r="G55" s="6"/>
      <c r="H55" s="7" t="s">
        <v>244</v>
      </c>
      <c r="I55" s="6" t="s">
        <v>146</v>
      </c>
      <c r="J55" s="7" t="s">
        <v>245</v>
      </c>
    </row>
    <row r="56" customFormat="false" ht="22.35" hidden="false" customHeight="false" outlineLevel="0" collapsed="false">
      <c r="A56" s="4" t="s">
        <v>252</v>
      </c>
      <c r="B56" s="4" t="s">
        <v>253</v>
      </c>
      <c r="C56" s="5" t="s">
        <v>165</v>
      </c>
      <c r="D56" s="5" t="s">
        <v>242</v>
      </c>
      <c r="E56" s="5" t="s">
        <v>254</v>
      </c>
      <c r="F56" s="4" t="s">
        <v>167</v>
      </c>
      <c r="G56" s="4"/>
      <c r="H56" s="5" t="s">
        <v>255</v>
      </c>
      <c r="I56" s="4" t="s">
        <v>146</v>
      </c>
      <c r="J56" s="5" t="s">
        <v>245</v>
      </c>
    </row>
    <row r="57" customFormat="false" ht="22.35" hidden="false" customHeight="false" outlineLevel="0" collapsed="false">
      <c r="A57" s="6" t="s">
        <v>256</v>
      </c>
      <c r="B57" s="6" t="s">
        <v>257</v>
      </c>
      <c r="C57" s="7" t="s">
        <v>165</v>
      </c>
      <c r="D57" s="7" t="s">
        <v>242</v>
      </c>
      <c r="E57" s="7" t="s">
        <v>258</v>
      </c>
      <c r="F57" s="6" t="s">
        <v>167</v>
      </c>
      <c r="G57" s="6"/>
      <c r="H57" s="7" t="s">
        <v>255</v>
      </c>
      <c r="I57" s="6" t="s">
        <v>146</v>
      </c>
      <c r="J57" s="7" t="s">
        <v>245</v>
      </c>
    </row>
    <row r="58" customFormat="false" ht="22.35" hidden="false" customHeight="false" outlineLevel="0" collapsed="false">
      <c r="A58" s="4" t="s">
        <v>259</v>
      </c>
      <c r="B58" s="4" t="s">
        <v>260</v>
      </c>
      <c r="C58" s="5" t="s">
        <v>165</v>
      </c>
      <c r="D58" s="5" t="s">
        <v>261</v>
      </c>
      <c r="E58" s="5" t="s">
        <v>262</v>
      </c>
      <c r="F58" s="4" t="s">
        <v>167</v>
      </c>
      <c r="G58" s="4"/>
      <c r="H58" s="5" t="s">
        <v>263</v>
      </c>
      <c r="I58" s="4" t="s">
        <v>146</v>
      </c>
      <c r="J58" s="4" t="s">
        <v>264</v>
      </c>
    </row>
    <row r="59" customFormat="false" ht="22.35" hidden="false" customHeight="false" outlineLevel="0" collapsed="false">
      <c r="A59" s="6" t="s">
        <v>265</v>
      </c>
      <c r="B59" s="6" t="s">
        <v>266</v>
      </c>
      <c r="C59" s="7" t="s">
        <v>165</v>
      </c>
      <c r="D59" s="7" t="s">
        <v>261</v>
      </c>
      <c r="E59" s="7" t="s">
        <v>267</v>
      </c>
      <c r="F59" s="6" t="s">
        <v>167</v>
      </c>
      <c r="G59" s="6"/>
      <c r="H59" s="7" t="s">
        <v>268</v>
      </c>
      <c r="I59" s="6" t="s">
        <v>146</v>
      </c>
      <c r="J59" s="6" t="s">
        <v>264</v>
      </c>
    </row>
    <row r="60" customFormat="false" ht="22.35" hidden="false" customHeight="false" outlineLevel="0" collapsed="false">
      <c r="A60" s="4" t="s">
        <v>269</v>
      </c>
      <c r="B60" s="4" t="s">
        <v>270</v>
      </c>
      <c r="C60" s="5" t="s">
        <v>165</v>
      </c>
      <c r="D60" s="5" t="s">
        <v>261</v>
      </c>
      <c r="E60" s="5" t="s">
        <v>271</v>
      </c>
      <c r="F60" s="4" t="s">
        <v>167</v>
      </c>
      <c r="G60" s="4"/>
      <c r="H60" s="5" t="s">
        <v>268</v>
      </c>
      <c r="I60" s="4" t="s">
        <v>146</v>
      </c>
      <c r="J60" s="4" t="s">
        <v>264</v>
      </c>
    </row>
    <row r="61" customFormat="false" ht="22.35" hidden="false" customHeight="false" outlineLevel="0" collapsed="false">
      <c r="A61" s="6" t="s">
        <v>272</v>
      </c>
      <c r="B61" s="6" t="s">
        <v>273</v>
      </c>
      <c r="C61" s="7" t="s">
        <v>165</v>
      </c>
      <c r="D61" s="7" t="s">
        <v>261</v>
      </c>
      <c r="E61" s="7" t="s">
        <v>274</v>
      </c>
      <c r="F61" s="6" t="s">
        <v>167</v>
      </c>
      <c r="G61" s="6"/>
      <c r="H61" s="7" t="s">
        <v>275</v>
      </c>
      <c r="I61" s="6" t="s">
        <v>146</v>
      </c>
      <c r="J61" s="7" t="s">
        <v>276</v>
      </c>
    </row>
    <row r="62" customFormat="false" ht="26.85" hidden="false" customHeight="false" outlineLevel="0" collapsed="false">
      <c r="A62" s="4" t="s">
        <v>277</v>
      </c>
      <c r="B62" s="4" t="s">
        <v>278</v>
      </c>
      <c r="C62" s="5" t="s">
        <v>279</v>
      </c>
      <c r="D62" s="5" t="s">
        <v>280</v>
      </c>
      <c r="E62" s="5" t="s">
        <v>281</v>
      </c>
      <c r="F62" s="4" t="s">
        <v>282</v>
      </c>
      <c r="G62" s="4"/>
      <c r="H62" s="5" t="s">
        <v>283</v>
      </c>
      <c r="I62" s="4" t="s">
        <v>284</v>
      </c>
      <c r="J62" s="5" t="s">
        <v>285</v>
      </c>
    </row>
    <row r="63" customFormat="false" ht="26.85" hidden="false" customHeight="false" outlineLevel="0" collapsed="false">
      <c r="A63" s="6" t="s">
        <v>286</v>
      </c>
      <c r="B63" s="6" t="s">
        <v>287</v>
      </c>
      <c r="C63" s="7" t="s">
        <v>279</v>
      </c>
      <c r="D63" s="7" t="s">
        <v>280</v>
      </c>
      <c r="E63" s="7" t="s">
        <v>288</v>
      </c>
      <c r="F63" s="6" t="s">
        <v>282</v>
      </c>
      <c r="G63" s="6"/>
      <c r="H63" s="7" t="s">
        <v>289</v>
      </c>
      <c r="I63" s="6" t="s">
        <v>284</v>
      </c>
      <c r="J63" s="7" t="s">
        <v>285</v>
      </c>
    </row>
    <row r="64" customFormat="false" ht="26.85" hidden="false" customHeight="false" outlineLevel="0" collapsed="false">
      <c r="A64" s="4" t="s">
        <v>290</v>
      </c>
      <c r="B64" s="4" t="s">
        <v>291</v>
      </c>
      <c r="C64" s="5" t="s">
        <v>279</v>
      </c>
      <c r="D64" s="5" t="s">
        <v>280</v>
      </c>
      <c r="E64" s="5" t="s">
        <v>292</v>
      </c>
      <c r="F64" s="4" t="s">
        <v>282</v>
      </c>
      <c r="G64" s="4"/>
      <c r="H64" s="5" t="s">
        <v>293</v>
      </c>
      <c r="I64" s="4" t="s">
        <v>284</v>
      </c>
      <c r="J64" s="5" t="s">
        <v>285</v>
      </c>
    </row>
    <row r="65" customFormat="false" ht="26.85" hidden="false" customHeight="false" outlineLevel="0" collapsed="false">
      <c r="A65" s="6" t="s">
        <v>294</v>
      </c>
      <c r="B65" s="6" t="s">
        <v>295</v>
      </c>
      <c r="C65" s="7" t="s">
        <v>279</v>
      </c>
      <c r="D65" s="7" t="s">
        <v>280</v>
      </c>
      <c r="E65" s="7" t="s">
        <v>296</v>
      </c>
      <c r="F65" s="6" t="s">
        <v>282</v>
      </c>
      <c r="G65" s="6"/>
      <c r="H65" s="7" t="s">
        <v>293</v>
      </c>
      <c r="I65" s="6" t="s">
        <v>284</v>
      </c>
      <c r="J65" s="7" t="s">
        <v>285</v>
      </c>
    </row>
    <row r="66" customFormat="false" ht="26.85" hidden="false" customHeight="false" outlineLevel="0" collapsed="false">
      <c r="A66" s="4" t="s">
        <v>297</v>
      </c>
      <c r="B66" s="4" t="s">
        <v>298</v>
      </c>
      <c r="C66" s="5" t="s">
        <v>279</v>
      </c>
      <c r="D66" s="5" t="s">
        <v>280</v>
      </c>
      <c r="E66" s="5" t="s">
        <v>299</v>
      </c>
      <c r="F66" s="4" t="s">
        <v>282</v>
      </c>
      <c r="G66" s="4"/>
      <c r="H66" s="5" t="s">
        <v>300</v>
      </c>
      <c r="I66" s="4" t="s">
        <v>284</v>
      </c>
      <c r="J66" s="5" t="s">
        <v>285</v>
      </c>
    </row>
    <row r="67" customFormat="false" ht="26.85" hidden="false" customHeight="false" outlineLevel="0" collapsed="false">
      <c r="A67" s="6" t="s">
        <v>301</v>
      </c>
      <c r="B67" s="6" t="s">
        <v>302</v>
      </c>
      <c r="C67" s="7" t="s">
        <v>279</v>
      </c>
      <c r="D67" s="7" t="s">
        <v>280</v>
      </c>
      <c r="E67" s="7" t="s">
        <v>303</v>
      </c>
      <c r="F67" s="6" t="s">
        <v>282</v>
      </c>
      <c r="G67" s="6"/>
      <c r="H67" s="7" t="s">
        <v>304</v>
      </c>
      <c r="I67" s="6" t="s">
        <v>284</v>
      </c>
      <c r="J67" s="7" t="s">
        <v>285</v>
      </c>
    </row>
    <row r="68" customFormat="false" ht="26.85" hidden="false" customHeight="false" outlineLevel="0" collapsed="false">
      <c r="A68" s="4" t="s">
        <v>305</v>
      </c>
      <c r="B68" s="4" t="s">
        <v>306</v>
      </c>
      <c r="C68" s="5" t="s">
        <v>279</v>
      </c>
      <c r="D68" s="5" t="s">
        <v>280</v>
      </c>
      <c r="E68" s="5" t="s">
        <v>307</v>
      </c>
      <c r="F68" s="4" t="s">
        <v>282</v>
      </c>
      <c r="G68" s="4"/>
      <c r="H68" s="5" t="s">
        <v>308</v>
      </c>
      <c r="I68" s="4" t="s">
        <v>284</v>
      </c>
      <c r="J68" s="5" t="s">
        <v>285</v>
      </c>
    </row>
    <row r="69" customFormat="false" ht="26.85" hidden="false" customHeight="false" outlineLevel="0" collapsed="false">
      <c r="A69" s="6" t="s">
        <v>309</v>
      </c>
      <c r="B69" s="6" t="s">
        <v>310</v>
      </c>
      <c r="C69" s="7" t="s">
        <v>279</v>
      </c>
      <c r="D69" s="7" t="s">
        <v>280</v>
      </c>
      <c r="E69" s="7" t="s">
        <v>311</v>
      </c>
      <c r="F69" s="6" t="s">
        <v>282</v>
      </c>
      <c r="G69" s="6"/>
      <c r="H69" s="7" t="s">
        <v>308</v>
      </c>
      <c r="I69" s="6" t="s">
        <v>284</v>
      </c>
      <c r="J69" s="7" t="s">
        <v>285</v>
      </c>
    </row>
    <row r="70" customFormat="false" ht="26.85" hidden="false" customHeight="false" outlineLevel="0" collapsed="false">
      <c r="A70" s="4" t="s">
        <v>312</v>
      </c>
      <c r="B70" s="4" t="s">
        <v>313</v>
      </c>
      <c r="C70" s="5" t="s">
        <v>279</v>
      </c>
      <c r="D70" s="5" t="s">
        <v>280</v>
      </c>
      <c r="E70" s="5" t="s">
        <v>150</v>
      </c>
      <c r="F70" s="4" t="s">
        <v>282</v>
      </c>
      <c r="G70" s="4"/>
      <c r="H70" s="5" t="s">
        <v>308</v>
      </c>
      <c r="I70" s="4" t="s">
        <v>284</v>
      </c>
      <c r="J70" s="5" t="s">
        <v>285</v>
      </c>
    </row>
    <row r="71" customFormat="false" ht="26.85" hidden="false" customHeight="false" outlineLevel="0" collapsed="false">
      <c r="A71" s="6" t="s">
        <v>314</v>
      </c>
      <c r="B71" s="6" t="s">
        <v>315</v>
      </c>
      <c r="C71" s="7" t="s">
        <v>279</v>
      </c>
      <c r="D71" s="7" t="s">
        <v>280</v>
      </c>
      <c r="E71" s="7" t="s">
        <v>316</v>
      </c>
      <c r="F71" s="6" t="s">
        <v>282</v>
      </c>
      <c r="G71" s="6"/>
      <c r="H71" s="7" t="s">
        <v>317</v>
      </c>
      <c r="I71" s="6" t="s">
        <v>284</v>
      </c>
      <c r="J71" s="7" t="s">
        <v>285</v>
      </c>
    </row>
    <row r="72" customFormat="false" ht="26.85" hidden="false" customHeight="false" outlineLevel="0" collapsed="false">
      <c r="A72" s="4" t="s">
        <v>318</v>
      </c>
      <c r="B72" s="4" t="s">
        <v>319</v>
      </c>
      <c r="C72" s="5" t="s">
        <v>279</v>
      </c>
      <c r="D72" s="5" t="s">
        <v>280</v>
      </c>
      <c r="E72" s="5" t="s">
        <v>320</v>
      </c>
      <c r="F72" s="4" t="s">
        <v>282</v>
      </c>
      <c r="G72" s="4"/>
      <c r="H72" s="5" t="s">
        <v>321</v>
      </c>
      <c r="I72" s="4" t="s">
        <v>284</v>
      </c>
      <c r="J72" s="5" t="s">
        <v>285</v>
      </c>
    </row>
    <row r="73" customFormat="false" ht="26.85" hidden="false" customHeight="false" outlineLevel="0" collapsed="false">
      <c r="A73" s="6" t="s">
        <v>322</v>
      </c>
      <c r="B73" s="6" t="s">
        <v>323</v>
      </c>
      <c r="C73" s="7" t="s">
        <v>279</v>
      </c>
      <c r="D73" s="7" t="s">
        <v>280</v>
      </c>
      <c r="E73" s="7" t="s">
        <v>324</v>
      </c>
      <c r="F73" s="6" t="s">
        <v>282</v>
      </c>
      <c r="G73" s="6"/>
      <c r="H73" s="7" t="s">
        <v>325</v>
      </c>
      <c r="I73" s="6" t="s">
        <v>284</v>
      </c>
      <c r="J73" s="7" t="s">
        <v>285</v>
      </c>
    </row>
    <row r="74" customFormat="false" ht="26.85" hidden="false" customHeight="false" outlineLevel="0" collapsed="false">
      <c r="A74" s="4" t="s">
        <v>326</v>
      </c>
      <c r="B74" s="4" t="s">
        <v>327</v>
      </c>
      <c r="C74" s="5" t="s">
        <v>279</v>
      </c>
      <c r="D74" s="5" t="s">
        <v>280</v>
      </c>
      <c r="E74" s="5" t="s">
        <v>328</v>
      </c>
      <c r="F74" s="4" t="s">
        <v>125</v>
      </c>
      <c r="G74" s="4"/>
      <c r="H74" s="4" t="s">
        <v>329</v>
      </c>
      <c r="I74" s="4" t="s">
        <v>330</v>
      </c>
      <c r="J74" s="4" t="s">
        <v>331</v>
      </c>
    </row>
    <row r="75" customFormat="false" ht="26.85" hidden="false" customHeight="false" outlineLevel="0" collapsed="false">
      <c r="A75" s="6" t="s">
        <v>332</v>
      </c>
      <c r="B75" s="6" t="s">
        <v>333</v>
      </c>
      <c r="C75" s="7" t="s">
        <v>279</v>
      </c>
      <c r="D75" s="7" t="s">
        <v>280</v>
      </c>
      <c r="E75" s="7" t="s">
        <v>274</v>
      </c>
      <c r="F75" s="6" t="s">
        <v>125</v>
      </c>
      <c r="G75" s="6"/>
      <c r="H75" s="6" t="s">
        <v>329</v>
      </c>
      <c r="I75" s="6" t="s">
        <v>334</v>
      </c>
      <c r="J75" s="7" t="s">
        <v>335</v>
      </c>
    </row>
    <row r="76" customFormat="false" ht="26.85" hidden="false" customHeight="false" outlineLevel="0" collapsed="false">
      <c r="A76" s="4" t="s">
        <v>336</v>
      </c>
      <c r="B76" s="4" t="s">
        <v>337</v>
      </c>
      <c r="C76" s="5" t="s">
        <v>279</v>
      </c>
      <c r="D76" s="5" t="s">
        <v>338</v>
      </c>
      <c r="E76" s="4" t="s">
        <v>339</v>
      </c>
      <c r="F76" s="4" t="s">
        <v>340</v>
      </c>
      <c r="G76" s="4"/>
      <c r="H76" s="5" t="s">
        <v>341</v>
      </c>
      <c r="I76" s="4" t="s">
        <v>342</v>
      </c>
      <c r="J76" s="5" t="s">
        <v>343</v>
      </c>
    </row>
    <row r="77" customFormat="false" ht="26.85" hidden="false" customHeight="false" outlineLevel="0" collapsed="false">
      <c r="A77" s="6" t="s">
        <v>344</v>
      </c>
      <c r="B77" s="6" t="s">
        <v>345</v>
      </c>
      <c r="C77" s="7" t="s">
        <v>279</v>
      </c>
      <c r="D77" s="7" t="s">
        <v>338</v>
      </c>
      <c r="E77" s="6" t="s">
        <v>346</v>
      </c>
      <c r="F77" s="6" t="s">
        <v>340</v>
      </c>
      <c r="G77" s="6"/>
      <c r="H77" s="7" t="s">
        <v>347</v>
      </c>
      <c r="I77" s="6" t="s">
        <v>342</v>
      </c>
      <c r="J77" s="7" t="s">
        <v>343</v>
      </c>
    </row>
    <row r="78" customFormat="false" ht="26.85" hidden="false" customHeight="false" outlineLevel="0" collapsed="false">
      <c r="A78" s="4" t="s">
        <v>348</v>
      </c>
      <c r="B78" s="4" t="s">
        <v>349</v>
      </c>
      <c r="C78" s="5" t="s">
        <v>279</v>
      </c>
      <c r="D78" s="5" t="s">
        <v>338</v>
      </c>
      <c r="E78" s="5" t="s">
        <v>288</v>
      </c>
      <c r="F78" s="4" t="s">
        <v>340</v>
      </c>
      <c r="G78" s="4"/>
      <c r="H78" s="5" t="s">
        <v>341</v>
      </c>
      <c r="I78" s="4" t="s">
        <v>342</v>
      </c>
      <c r="J78" s="5" t="s">
        <v>343</v>
      </c>
    </row>
    <row r="79" customFormat="false" ht="26.85" hidden="false" customHeight="false" outlineLevel="0" collapsed="false">
      <c r="A79" s="6" t="s">
        <v>350</v>
      </c>
      <c r="B79" s="6" t="s">
        <v>351</v>
      </c>
      <c r="C79" s="7" t="s">
        <v>279</v>
      </c>
      <c r="D79" s="7" t="s">
        <v>338</v>
      </c>
      <c r="E79" s="7" t="s">
        <v>352</v>
      </c>
      <c r="F79" s="6" t="s">
        <v>340</v>
      </c>
      <c r="G79" s="6"/>
      <c r="H79" s="7" t="s">
        <v>353</v>
      </c>
      <c r="I79" s="6" t="s">
        <v>342</v>
      </c>
      <c r="J79" s="7" t="s">
        <v>343</v>
      </c>
    </row>
    <row r="80" customFormat="false" ht="26.85" hidden="false" customHeight="false" outlineLevel="0" collapsed="false">
      <c r="A80" s="4" t="s">
        <v>354</v>
      </c>
      <c r="B80" s="4" t="s">
        <v>355</v>
      </c>
      <c r="C80" s="5" t="s">
        <v>279</v>
      </c>
      <c r="D80" s="5" t="s">
        <v>338</v>
      </c>
      <c r="E80" s="5" t="s">
        <v>356</v>
      </c>
      <c r="F80" s="4" t="s">
        <v>340</v>
      </c>
      <c r="G80" s="4"/>
      <c r="H80" s="5" t="s">
        <v>357</v>
      </c>
      <c r="I80" s="4" t="s">
        <v>342</v>
      </c>
      <c r="J80" s="5" t="s">
        <v>343</v>
      </c>
    </row>
    <row r="81" customFormat="false" ht="26.85" hidden="false" customHeight="false" outlineLevel="0" collapsed="false">
      <c r="A81" s="6" t="s">
        <v>358</v>
      </c>
      <c r="B81" s="6" t="s">
        <v>359</v>
      </c>
      <c r="C81" s="7" t="s">
        <v>279</v>
      </c>
      <c r="D81" s="7" t="s">
        <v>338</v>
      </c>
      <c r="E81" s="7" t="s">
        <v>360</v>
      </c>
      <c r="F81" s="6" t="s">
        <v>340</v>
      </c>
      <c r="G81" s="6"/>
      <c r="H81" s="7" t="s">
        <v>361</v>
      </c>
      <c r="I81" s="6" t="s">
        <v>342</v>
      </c>
      <c r="J81" s="7" t="s">
        <v>343</v>
      </c>
    </row>
    <row r="82" customFormat="false" ht="26.85" hidden="false" customHeight="false" outlineLevel="0" collapsed="false">
      <c r="A82" s="4" t="s">
        <v>362</v>
      </c>
      <c r="B82" s="4" t="s">
        <v>363</v>
      </c>
      <c r="C82" s="5" t="s">
        <v>279</v>
      </c>
      <c r="D82" s="5" t="s">
        <v>338</v>
      </c>
      <c r="E82" s="5" t="s">
        <v>364</v>
      </c>
      <c r="F82" s="4" t="s">
        <v>340</v>
      </c>
      <c r="G82" s="4"/>
      <c r="H82" s="5" t="s">
        <v>365</v>
      </c>
      <c r="I82" s="4" t="s">
        <v>342</v>
      </c>
      <c r="J82" s="5" t="s">
        <v>343</v>
      </c>
    </row>
    <row r="83" customFormat="false" ht="26.85" hidden="false" customHeight="false" outlineLevel="0" collapsed="false">
      <c r="A83" s="6" t="s">
        <v>366</v>
      </c>
      <c r="B83" s="6" t="s">
        <v>367</v>
      </c>
      <c r="C83" s="7" t="s">
        <v>279</v>
      </c>
      <c r="D83" s="7" t="s">
        <v>338</v>
      </c>
      <c r="E83" s="7" t="s">
        <v>368</v>
      </c>
      <c r="F83" s="6" t="s">
        <v>340</v>
      </c>
      <c r="G83" s="6"/>
      <c r="H83" s="7" t="s">
        <v>369</v>
      </c>
      <c r="I83" s="6" t="s">
        <v>342</v>
      </c>
      <c r="J83" s="7" t="s">
        <v>343</v>
      </c>
    </row>
    <row r="84" customFormat="false" ht="26.85" hidden="false" customHeight="false" outlineLevel="0" collapsed="false">
      <c r="A84" s="4" t="s">
        <v>370</v>
      </c>
      <c r="B84" s="4" t="s">
        <v>371</v>
      </c>
      <c r="C84" s="5" t="s">
        <v>279</v>
      </c>
      <c r="D84" s="5" t="s">
        <v>338</v>
      </c>
      <c r="E84" s="5" t="s">
        <v>372</v>
      </c>
      <c r="F84" s="4" t="s">
        <v>340</v>
      </c>
      <c r="G84" s="4"/>
      <c r="H84" s="5" t="s">
        <v>373</v>
      </c>
      <c r="I84" s="4" t="s">
        <v>342</v>
      </c>
      <c r="J84" s="5" t="s">
        <v>343</v>
      </c>
    </row>
    <row r="85" customFormat="false" ht="43.25" hidden="false" customHeight="false" outlineLevel="0" collapsed="false">
      <c r="A85" s="6" t="s">
        <v>374</v>
      </c>
      <c r="B85" s="6" t="s">
        <v>375</v>
      </c>
      <c r="C85" s="7" t="s">
        <v>279</v>
      </c>
      <c r="D85" s="7" t="s">
        <v>280</v>
      </c>
      <c r="E85" s="7" t="s">
        <v>376</v>
      </c>
      <c r="F85" s="6" t="s">
        <v>377</v>
      </c>
      <c r="G85" s="6"/>
      <c r="H85" s="6" t="s">
        <v>378</v>
      </c>
      <c r="I85" s="6" t="s">
        <v>379</v>
      </c>
      <c r="J85" s="7" t="s">
        <v>380</v>
      </c>
    </row>
  </sheetData>
  <autoFilter ref="A3:J85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5"/>
  </cols>
  <sheetData>
    <row r="1" customFormat="false" ht="16.15" hidden="false" customHeight="false" outlineLevel="0" collapsed="false">
      <c r="A1" s="8" t="s">
        <v>381</v>
      </c>
    </row>
    <row r="3" customFormat="false" ht="15" hidden="false" customHeight="false" outlineLevel="0" collapsed="false">
      <c r="A3" s="9" t="s">
        <v>5</v>
      </c>
      <c r="B3" s="9" t="s">
        <v>382</v>
      </c>
      <c r="C3" s="9" t="s">
        <v>383</v>
      </c>
      <c r="D3" s="9" t="s">
        <v>384</v>
      </c>
      <c r="E3" s="9" t="s">
        <v>385</v>
      </c>
      <c r="F3" s="9" t="s">
        <v>386</v>
      </c>
      <c r="G3" s="9" t="s">
        <v>387</v>
      </c>
    </row>
    <row r="4" customFormat="false" ht="15" hidden="false" customHeight="false" outlineLevel="0" collapsed="false">
      <c r="A4" s="10" t="s">
        <v>388</v>
      </c>
      <c r="B4" s="11" t="n">
        <v>10</v>
      </c>
      <c r="C4" s="11" t="n">
        <v>380</v>
      </c>
      <c r="D4" s="11" t="n">
        <v>14</v>
      </c>
      <c r="E4" s="11" t="n">
        <v>250</v>
      </c>
      <c r="F4" s="11" t="n">
        <v>13300</v>
      </c>
      <c r="G4" s="11" t="n">
        <v>13.3</v>
      </c>
    </row>
    <row r="5" customFormat="false" ht="15" hidden="false" customHeight="false" outlineLevel="0" collapsed="false">
      <c r="A5" s="11"/>
      <c r="B5" s="11" t="n">
        <v>10</v>
      </c>
      <c r="C5" s="11" t="n">
        <v>380</v>
      </c>
      <c r="D5" s="11" t="n">
        <v>14</v>
      </c>
      <c r="E5" s="11" t="n">
        <v>500</v>
      </c>
      <c r="F5" s="11" t="n">
        <v>26600</v>
      </c>
      <c r="G5" s="11" t="n">
        <v>26.6</v>
      </c>
    </row>
    <row r="6" customFormat="false" ht="15" hidden="false" customHeight="false" outlineLevel="0" collapsed="false">
      <c r="A6" s="11"/>
      <c r="B6" s="11" t="n">
        <v>10</v>
      </c>
      <c r="C6" s="11" t="n">
        <v>380</v>
      </c>
      <c r="D6" s="11" t="n">
        <v>14</v>
      </c>
      <c r="E6" s="11" t="n">
        <v>1000</v>
      </c>
      <c r="F6" s="11" t="n">
        <v>53200</v>
      </c>
      <c r="G6" s="11" t="n">
        <v>53.2</v>
      </c>
    </row>
    <row r="7" customFormat="false" ht="15" hidden="false" customHeight="false" outlineLevel="0" collapsed="false">
      <c r="A7" s="11"/>
      <c r="B7" s="11" t="n">
        <v>10</v>
      </c>
      <c r="C7" s="11" t="n">
        <v>380</v>
      </c>
      <c r="D7" s="11" t="n">
        <v>14</v>
      </c>
      <c r="E7" s="11" t="n">
        <v>2000</v>
      </c>
      <c r="F7" s="11" t="n">
        <v>106400</v>
      </c>
      <c r="G7" s="11" t="n">
        <v>106.4</v>
      </c>
    </row>
    <row r="8" customFormat="false" ht="15" hidden="false" customHeight="false" outlineLevel="0" collapsed="false">
      <c r="A8" s="12"/>
      <c r="B8" s="13" t="s">
        <v>389</v>
      </c>
      <c r="C8" s="14"/>
      <c r="D8" s="14"/>
      <c r="E8" s="14"/>
      <c r="F8" s="13" t="n">
        <f aca="false">SUM(F4:F7)</f>
        <v>199500</v>
      </c>
      <c r="G8" s="13" t="n">
        <f aca="false">SUM(G4:G7)</f>
        <v>199.5</v>
      </c>
    </row>
    <row r="9" customFormat="false" ht="15" hidden="false" customHeight="false" outlineLevel="0" collapsed="false">
      <c r="A9" s="10" t="s">
        <v>390</v>
      </c>
      <c r="B9" s="11" t="n">
        <v>20</v>
      </c>
      <c r="C9" s="11" t="n">
        <v>460</v>
      </c>
      <c r="D9" s="11" t="n">
        <v>28</v>
      </c>
      <c r="E9" s="11" t="n">
        <v>500</v>
      </c>
      <c r="F9" s="11" t="n">
        <v>128800</v>
      </c>
      <c r="G9" s="11" t="n">
        <v>128.8</v>
      </c>
    </row>
    <row r="10" customFormat="false" ht="15" hidden="false" customHeight="false" outlineLevel="0" collapsed="false">
      <c r="A10" s="11"/>
      <c r="B10" s="11" t="n">
        <v>20</v>
      </c>
      <c r="C10" s="11" t="n">
        <v>460</v>
      </c>
      <c r="D10" s="11" t="n">
        <v>28</v>
      </c>
      <c r="E10" s="11" t="n">
        <v>1000</v>
      </c>
      <c r="F10" s="11" t="n">
        <v>257600</v>
      </c>
      <c r="G10" s="11" t="n">
        <v>257.6</v>
      </c>
    </row>
    <row r="11" customFormat="false" ht="15" hidden="false" customHeight="false" outlineLevel="0" collapsed="false">
      <c r="A11" s="11"/>
      <c r="B11" s="11" t="n">
        <v>30</v>
      </c>
      <c r="C11" s="11" t="n">
        <v>460</v>
      </c>
      <c r="D11" s="11" t="n">
        <v>28</v>
      </c>
      <c r="E11" s="11" t="n">
        <v>2000</v>
      </c>
      <c r="F11" s="11" t="n">
        <v>772800</v>
      </c>
      <c r="G11" s="11" t="n">
        <v>772.8</v>
      </c>
    </row>
    <row r="12" customFormat="false" ht="15" hidden="false" customHeight="false" outlineLevel="0" collapsed="false">
      <c r="A12" s="12"/>
      <c r="B12" s="13" t="s">
        <v>389</v>
      </c>
      <c r="C12" s="14"/>
      <c r="D12" s="14"/>
      <c r="E12" s="14"/>
      <c r="F12" s="13" t="n">
        <f aca="false">SUM(F9:F11)</f>
        <v>1159200</v>
      </c>
      <c r="G12" s="13" t="n">
        <f aca="false">SUM(G9:G11)</f>
        <v>1159.2</v>
      </c>
    </row>
    <row r="13" customFormat="false" ht="15" hidden="false" customHeight="false" outlineLevel="0" collapsed="false">
      <c r="A13" s="10" t="s">
        <v>391</v>
      </c>
      <c r="B13" s="11" t="n">
        <v>12</v>
      </c>
      <c r="C13" s="11" t="n">
        <v>460</v>
      </c>
      <c r="D13" s="11" t="n">
        <v>28</v>
      </c>
      <c r="E13" s="11" t="n">
        <v>500</v>
      </c>
      <c r="F13" s="11" t="n">
        <v>77280</v>
      </c>
      <c r="G13" s="11" t="n">
        <v>77.28</v>
      </c>
    </row>
    <row r="14" customFormat="false" ht="15" hidden="false" customHeight="false" outlineLevel="0" collapsed="false">
      <c r="A14" s="11"/>
      <c r="B14" s="11" t="n">
        <v>12</v>
      </c>
      <c r="C14" s="11" t="n">
        <v>460</v>
      </c>
      <c r="D14" s="11" t="n">
        <v>28</v>
      </c>
      <c r="E14" s="11" t="n">
        <v>1000</v>
      </c>
      <c r="F14" s="11" t="n">
        <v>154560</v>
      </c>
      <c r="G14" s="11" t="n">
        <v>154.56</v>
      </c>
    </row>
    <row r="15" customFormat="false" ht="15" hidden="false" customHeight="false" outlineLevel="0" collapsed="false">
      <c r="A15" s="11"/>
      <c r="B15" s="11" t="n">
        <v>12</v>
      </c>
      <c r="C15" s="11" t="n">
        <v>460</v>
      </c>
      <c r="D15" s="11" t="n">
        <v>28</v>
      </c>
      <c r="E15" s="11" t="n">
        <v>2000</v>
      </c>
      <c r="F15" s="11" t="n">
        <v>309120</v>
      </c>
      <c r="G15" s="11" t="n">
        <v>309.12</v>
      </c>
    </row>
    <row r="16" customFormat="false" ht="15" hidden="false" customHeight="false" outlineLevel="0" collapsed="false">
      <c r="A16" s="12"/>
      <c r="B16" s="13" t="s">
        <v>389</v>
      </c>
      <c r="C16" s="14"/>
      <c r="D16" s="14"/>
      <c r="E16" s="14"/>
      <c r="F16" s="13" t="n">
        <f aca="false">SUM(F13:F15)</f>
        <v>540960</v>
      </c>
      <c r="G16" s="13" t="n">
        <f aca="false">SUM(G13:G15)</f>
        <v>540.96</v>
      </c>
    </row>
    <row r="17" customFormat="false" ht="15" hidden="false" customHeight="false" outlineLevel="0" collapsed="false">
      <c r="A17" s="10" t="s">
        <v>392</v>
      </c>
      <c r="B17" s="11" t="n">
        <v>20</v>
      </c>
      <c r="C17" s="11" t="n">
        <v>460</v>
      </c>
      <c r="D17" s="11" t="n">
        <v>91</v>
      </c>
      <c r="E17" s="11" t="n">
        <v>500</v>
      </c>
      <c r="F17" s="11" t="n">
        <v>418600</v>
      </c>
      <c r="G17" s="11" t="n">
        <v>418.6</v>
      </c>
    </row>
    <row r="18" customFormat="false" ht="15" hidden="false" customHeight="false" outlineLevel="0" collapsed="false">
      <c r="A18" s="11"/>
      <c r="B18" s="11" t="n">
        <v>20</v>
      </c>
      <c r="C18" s="11" t="n">
        <v>460</v>
      </c>
      <c r="D18" s="11" t="n">
        <v>91</v>
      </c>
      <c r="E18" s="11" t="n">
        <v>1000</v>
      </c>
      <c r="F18" s="11" t="n">
        <v>837200</v>
      </c>
      <c r="G18" s="11" t="n">
        <v>837.2</v>
      </c>
    </row>
    <row r="19" customFormat="false" ht="15" hidden="false" customHeight="false" outlineLevel="0" collapsed="false">
      <c r="A19" s="11"/>
      <c r="B19" s="11" t="n">
        <v>30</v>
      </c>
      <c r="C19" s="11" t="n">
        <v>460</v>
      </c>
      <c r="D19" s="11" t="n">
        <v>91</v>
      </c>
      <c r="E19" s="11" t="n">
        <v>2000</v>
      </c>
      <c r="F19" s="11" t="n">
        <v>2511600</v>
      </c>
      <c r="G19" s="11" t="n">
        <v>2511.6</v>
      </c>
    </row>
    <row r="20" customFormat="false" ht="15" hidden="false" customHeight="false" outlineLevel="0" collapsed="false">
      <c r="A20" s="12"/>
      <c r="B20" s="13" t="s">
        <v>389</v>
      </c>
      <c r="C20" s="14"/>
      <c r="D20" s="14"/>
      <c r="E20" s="14"/>
      <c r="F20" s="13" t="n">
        <f aca="false">SUM(F17:F19)</f>
        <v>3767400</v>
      </c>
      <c r="G20" s="13" t="n">
        <f aca="false">SUM(G17:G19)</f>
        <v>3767.4</v>
      </c>
    </row>
    <row r="21" customFormat="false" ht="15" hidden="false" customHeight="false" outlineLevel="0" collapsed="false">
      <c r="A21" s="10" t="s">
        <v>393</v>
      </c>
      <c r="B21" s="11" t="n">
        <v>12</v>
      </c>
      <c r="C21" s="11" t="n">
        <v>460</v>
      </c>
      <c r="D21" s="11" t="n">
        <v>91</v>
      </c>
      <c r="E21" s="11" t="n">
        <v>500</v>
      </c>
      <c r="F21" s="11" t="n">
        <v>251160</v>
      </c>
      <c r="G21" s="11" t="n">
        <v>251.16</v>
      </c>
    </row>
    <row r="22" customFormat="false" ht="15" hidden="false" customHeight="false" outlineLevel="0" collapsed="false">
      <c r="A22" s="11"/>
      <c r="B22" s="11" t="n">
        <v>12</v>
      </c>
      <c r="C22" s="11" t="n">
        <v>460</v>
      </c>
      <c r="D22" s="11" t="n">
        <v>91</v>
      </c>
      <c r="E22" s="11" t="n">
        <v>1000</v>
      </c>
      <c r="F22" s="11" t="n">
        <v>502320</v>
      </c>
      <c r="G22" s="11" t="n">
        <v>502.32</v>
      </c>
    </row>
    <row r="23" customFormat="false" ht="15" hidden="false" customHeight="false" outlineLevel="0" collapsed="false">
      <c r="A23" s="11"/>
      <c r="B23" s="11" t="n">
        <v>12</v>
      </c>
      <c r="C23" s="11" t="n">
        <v>460</v>
      </c>
      <c r="D23" s="11" t="n">
        <v>91</v>
      </c>
      <c r="E23" s="11" t="n">
        <v>2000</v>
      </c>
      <c r="F23" s="11" t="n">
        <v>1004640</v>
      </c>
      <c r="G23" s="11" t="n">
        <v>1004.64</v>
      </c>
    </row>
    <row r="24" customFormat="false" ht="15" hidden="false" customHeight="false" outlineLevel="0" collapsed="false">
      <c r="A24" s="12"/>
      <c r="B24" s="13" t="s">
        <v>389</v>
      </c>
      <c r="C24" s="14"/>
      <c r="D24" s="14"/>
      <c r="E24" s="14"/>
      <c r="F24" s="13" t="n">
        <f aca="false">SUM(F21:F23)</f>
        <v>1758120</v>
      </c>
      <c r="G24" s="13" t="n">
        <f aca="false">SUM(G21:G23)</f>
        <v>1758.12</v>
      </c>
    </row>
    <row r="25" customFormat="false" ht="15" hidden="false" customHeight="false" outlineLevel="0" collapsed="false">
      <c r="A25" s="10" t="s">
        <v>394</v>
      </c>
      <c r="B25" s="11" t="n">
        <v>10</v>
      </c>
      <c r="C25" s="11" t="n">
        <v>380</v>
      </c>
      <c r="D25" s="11" t="n">
        <v>28</v>
      </c>
      <c r="E25" s="11" t="n">
        <v>250</v>
      </c>
      <c r="F25" s="11" t="n">
        <v>26600</v>
      </c>
      <c r="G25" s="11" t="n">
        <v>26.6</v>
      </c>
    </row>
    <row r="26" customFormat="false" ht="15" hidden="false" customHeight="false" outlineLevel="0" collapsed="false">
      <c r="A26" s="11"/>
      <c r="B26" s="11" t="n">
        <v>10</v>
      </c>
      <c r="C26" s="11" t="n">
        <v>380</v>
      </c>
      <c r="D26" s="11" t="n">
        <v>28</v>
      </c>
      <c r="E26" s="11" t="n">
        <v>500</v>
      </c>
      <c r="F26" s="11" t="n">
        <v>53200</v>
      </c>
      <c r="G26" s="11" t="n">
        <v>53.2</v>
      </c>
    </row>
    <row r="27" customFormat="false" ht="15" hidden="false" customHeight="false" outlineLevel="0" collapsed="false">
      <c r="A27" s="11"/>
      <c r="B27" s="11" t="n">
        <v>10</v>
      </c>
      <c r="C27" s="11" t="n">
        <v>380</v>
      </c>
      <c r="D27" s="11" t="n">
        <v>28</v>
      </c>
      <c r="E27" s="11" t="n">
        <v>1000</v>
      </c>
      <c r="F27" s="11" t="n">
        <v>106400</v>
      </c>
      <c r="G27" s="11" t="n">
        <v>106.4</v>
      </c>
    </row>
    <row r="28" customFormat="false" ht="15" hidden="false" customHeight="false" outlineLevel="0" collapsed="false">
      <c r="A28" s="11"/>
      <c r="B28" s="11" t="n">
        <v>10</v>
      </c>
      <c r="C28" s="11" t="n">
        <v>380</v>
      </c>
      <c r="D28" s="11" t="n">
        <v>28</v>
      </c>
      <c r="E28" s="11" t="n">
        <v>2000</v>
      </c>
      <c r="F28" s="11" t="n">
        <v>212800</v>
      </c>
      <c r="G28" s="11" t="n">
        <v>212.8</v>
      </c>
    </row>
    <row r="29" customFormat="false" ht="15" hidden="false" customHeight="false" outlineLevel="0" collapsed="false">
      <c r="A29" s="12"/>
      <c r="B29" s="13" t="s">
        <v>389</v>
      </c>
      <c r="C29" s="14"/>
      <c r="D29" s="14"/>
      <c r="E29" s="14"/>
      <c r="F29" s="13" t="n">
        <f aca="false">SUM(F25:F28)</f>
        <v>399000</v>
      </c>
      <c r="G29" s="13" t="n">
        <f aca="false">SUM(G25:G28)</f>
        <v>399</v>
      </c>
    </row>
    <row r="30" customFormat="false" ht="15" hidden="false" customHeight="false" outlineLevel="0" collapsed="false">
      <c r="A30" s="10" t="s">
        <v>395</v>
      </c>
      <c r="B30" s="11" t="n">
        <v>10</v>
      </c>
      <c r="C30" s="11" t="n">
        <v>380</v>
      </c>
      <c r="D30" s="11" t="n">
        <v>91</v>
      </c>
      <c r="E30" s="11" t="n">
        <v>250</v>
      </c>
      <c r="F30" s="11" t="n">
        <v>86450</v>
      </c>
      <c r="G30" s="11" t="n">
        <v>86.45</v>
      </c>
    </row>
    <row r="31" customFormat="false" ht="15" hidden="false" customHeight="false" outlineLevel="0" collapsed="false">
      <c r="A31" s="11"/>
      <c r="B31" s="11" t="n">
        <v>10</v>
      </c>
      <c r="C31" s="11" t="n">
        <v>380</v>
      </c>
      <c r="D31" s="11" t="n">
        <v>91</v>
      </c>
      <c r="E31" s="11" t="n">
        <v>500</v>
      </c>
      <c r="F31" s="11" t="n">
        <v>172900</v>
      </c>
      <c r="G31" s="11" t="n">
        <v>172.9</v>
      </c>
    </row>
    <row r="32" customFormat="false" ht="15" hidden="false" customHeight="false" outlineLevel="0" collapsed="false">
      <c r="A32" s="11"/>
      <c r="B32" s="11" t="n">
        <v>10</v>
      </c>
      <c r="C32" s="11" t="n">
        <v>380</v>
      </c>
      <c r="D32" s="11" t="n">
        <v>91</v>
      </c>
      <c r="E32" s="11" t="n">
        <v>1000</v>
      </c>
      <c r="F32" s="11" t="n">
        <v>345800</v>
      </c>
      <c r="G32" s="11" t="n">
        <v>345.8</v>
      </c>
    </row>
    <row r="33" customFormat="false" ht="15" hidden="false" customHeight="false" outlineLevel="0" collapsed="false">
      <c r="A33" s="11"/>
      <c r="B33" s="11" t="n">
        <v>10</v>
      </c>
      <c r="C33" s="11" t="n">
        <v>380</v>
      </c>
      <c r="D33" s="11" t="n">
        <v>91</v>
      </c>
      <c r="E33" s="11" t="n">
        <v>2000</v>
      </c>
      <c r="F33" s="11" t="n">
        <v>691600</v>
      </c>
      <c r="G33" s="11" t="n">
        <v>691.6</v>
      </c>
    </row>
    <row r="34" customFormat="false" ht="15" hidden="false" customHeight="false" outlineLevel="0" collapsed="false">
      <c r="A34" s="12"/>
      <c r="B34" s="13" t="s">
        <v>389</v>
      </c>
      <c r="C34" s="14"/>
      <c r="D34" s="14"/>
      <c r="E34" s="14"/>
      <c r="F34" s="13" t="n">
        <f aca="false">SUM(F30:F33)</f>
        <v>1296750</v>
      </c>
      <c r="G34" s="13" t="n">
        <f aca="false">SUM(G30:G33)</f>
        <v>1296.75</v>
      </c>
    </row>
    <row r="35" customFormat="false" ht="15" hidden="false" customHeight="false" outlineLevel="0" collapsed="false">
      <c r="A35" s="10" t="s">
        <v>396</v>
      </c>
      <c r="B35" s="11" t="n">
        <v>20</v>
      </c>
      <c r="C35" s="11" t="n">
        <v>460</v>
      </c>
      <c r="D35" s="11" t="n">
        <v>182</v>
      </c>
      <c r="E35" s="11" t="n">
        <v>500</v>
      </c>
      <c r="F35" s="11" t="n">
        <v>837200</v>
      </c>
      <c r="G35" s="11" t="n">
        <v>837.2</v>
      </c>
    </row>
    <row r="36" customFormat="false" ht="15" hidden="false" customHeight="false" outlineLevel="0" collapsed="false">
      <c r="A36" s="11"/>
      <c r="B36" s="11" t="n">
        <v>20</v>
      </c>
      <c r="C36" s="11" t="n">
        <v>460</v>
      </c>
      <c r="D36" s="11" t="n">
        <v>182</v>
      </c>
      <c r="E36" s="11" t="n">
        <v>1000</v>
      </c>
      <c r="F36" s="11" t="n">
        <v>1674400</v>
      </c>
      <c r="G36" s="11" t="n">
        <v>1674.4</v>
      </c>
    </row>
    <row r="37" customFormat="false" ht="15" hidden="false" customHeight="false" outlineLevel="0" collapsed="false">
      <c r="A37" s="11"/>
      <c r="B37" s="11" t="n">
        <v>30</v>
      </c>
      <c r="C37" s="11" t="n">
        <v>460</v>
      </c>
      <c r="D37" s="11" t="n">
        <v>182</v>
      </c>
      <c r="E37" s="11" t="n">
        <v>2000</v>
      </c>
      <c r="F37" s="11" t="n">
        <v>5023200</v>
      </c>
      <c r="G37" s="11" t="n">
        <v>5023.2</v>
      </c>
    </row>
    <row r="38" customFormat="false" ht="15" hidden="false" customHeight="false" outlineLevel="0" collapsed="false">
      <c r="A38" s="12"/>
      <c r="B38" s="13" t="s">
        <v>389</v>
      </c>
      <c r="C38" s="14"/>
      <c r="D38" s="14"/>
      <c r="E38" s="14"/>
      <c r="F38" s="13" t="n">
        <f aca="false">SUM(F35:F37)</f>
        <v>7534800</v>
      </c>
      <c r="G38" s="13" t="n">
        <f aca="false">SUM(G35:G37)</f>
        <v>7534.8</v>
      </c>
    </row>
    <row r="39" customFormat="false" ht="15" hidden="false" customHeight="false" outlineLevel="0" collapsed="false">
      <c r="A39" s="10" t="s">
        <v>397</v>
      </c>
      <c r="B39" s="11" t="n">
        <v>12</v>
      </c>
      <c r="C39" s="11" t="n">
        <v>460</v>
      </c>
      <c r="D39" s="11" t="n">
        <v>182</v>
      </c>
      <c r="E39" s="11" t="n">
        <v>500</v>
      </c>
      <c r="F39" s="11" t="n">
        <v>502320</v>
      </c>
      <c r="G39" s="11" t="n">
        <v>502.32</v>
      </c>
    </row>
    <row r="40" customFormat="false" ht="15" hidden="false" customHeight="false" outlineLevel="0" collapsed="false">
      <c r="A40" s="11"/>
      <c r="B40" s="11" t="n">
        <v>12</v>
      </c>
      <c r="C40" s="11" t="n">
        <v>460</v>
      </c>
      <c r="D40" s="11" t="n">
        <v>182</v>
      </c>
      <c r="E40" s="11" t="n">
        <v>1000</v>
      </c>
      <c r="F40" s="11" t="n">
        <v>1004640</v>
      </c>
      <c r="G40" s="11" t="n">
        <v>1004.64</v>
      </c>
    </row>
    <row r="41" customFormat="false" ht="15" hidden="false" customHeight="false" outlineLevel="0" collapsed="false">
      <c r="A41" s="11"/>
      <c r="B41" s="11" t="n">
        <v>12</v>
      </c>
      <c r="C41" s="11" t="n">
        <v>460</v>
      </c>
      <c r="D41" s="11" t="n">
        <v>182</v>
      </c>
      <c r="E41" s="11" t="n">
        <v>2000</v>
      </c>
      <c r="F41" s="11" t="n">
        <v>2009280</v>
      </c>
      <c r="G41" s="11" t="n">
        <v>2009.28</v>
      </c>
    </row>
    <row r="42" customFormat="false" ht="15" hidden="false" customHeight="false" outlineLevel="0" collapsed="false">
      <c r="A42" s="12"/>
      <c r="B42" s="13" t="s">
        <v>389</v>
      </c>
      <c r="C42" s="14"/>
      <c r="D42" s="14"/>
      <c r="E42" s="14"/>
      <c r="F42" s="13" t="n">
        <f aca="false">SUM(F39:F41)</f>
        <v>3516240</v>
      </c>
      <c r="G42" s="13" t="n">
        <f aca="false">SUM(G39:G41)</f>
        <v>3516.24</v>
      </c>
    </row>
    <row r="43" customFormat="false" ht="15" hidden="false" customHeight="false" outlineLevel="0" collapsed="false">
      <c r="A43" s="10" t="s">
        <v>398</v>
      </c>
      <c r="B43" s="11" t="n">
        <v>66</v>
      </c>
      <c r="C43" s="11" t="n">
        <v>460</v>
      </c>
      <c r="D43" s="11" t="n">
        <v>728</v>
      </c>
      <c r="E43" s="11" t="n">
        <v>500</v>
      </c>
      <c r="F43" s="11" t="n">
        <v>11051040</v>
      </c>
      <c r="G43" s="11" t="n">
        <v>11051.04</v>
      </c>
    </row>
    <row r="44" customFormat="false" ht="15" hidden="false" customHeight="false" outlineLevel="0" collapsed="false">
      <c r="A44" s="11"/>
      <c r="B44" s="11" t="n">
        <v>66</v>
      </c>
      <c r="C44" s="11" t="n">
        <v>460</v>
      </c>
      <c r="D44" s="11" t="n">
        <v>728</v>
      </c>
      <c r="E44" s="11" t="n">
        <v>1000</v>
      </c>
      <c r="F44" s="11" t="n">
        <v>22102080</v>
      </c>
      <c r="G44" s="11" t="n">
        <v>22102.08</v>
      </c>
    </row>
    <row r="45" customFormat="false" ht="15" hidden="false" customHeight="false" outlineLevel="0" collapsed="false">
      <c r="A45" s="11"/>
      <c r="B45" s="11" t="n">
        <v>66</v>
      </c>
      <c r="C45" s="11" t="n">
        <v>460</v>
      </c>
      <c r="D45" s="11" t="n">
        <v>728</v>
      </c>
      <c r="E45" s="11" t="n">
        <v>2000</v>
      </c>
      <c r="F45" s="11" t="n">
        <v>44204160</v>
      </c>
      <c r="G45" s="11" t="n">
        <v>44204.16</v>
      </c>
    </row>
    <row r="46" customFormat="false" ht="15" hidden="false" customHeight="false" outlineLevel="0" collapsed="false">
      <c r="A46" s="12"/>
      <c r="B46" s="13" t="s">
        <v>389</v>
      </c>
      <c r="C46" s="14"/>
      <c r="D46" s="14"/>
      <c r="E46" s="14"/>
      <c r="F46" s="13" t="n">
        <f aca="false">SUM(F43:F45)</f>
        <v>77357280</v>
      </c>
      <c r="G46" s="13" t="n">
        <f aca="false">SUM(G43:G45)</f>
        <v>77357.28</v>
      </c>
    </row>
    <row r="47" customFormat="false" ht="15" hidden="false" customHeight="false" outlineLevel="0" collapsed="false">
      <c r="A47" s="10" t="s">
        <v>399</v>
      </c>
      <c r="B47" s="11" t="n">
        <v>2</v>
      </c>
      <c r="C47" s="11" t="n">
        <v>10000</v>
      </c>
      <c r="D47" s="11" t="n">
        <v>14</v>
      </c>
      <c r="E47" s="11" t="n">
        <v>125</v>
      </c>
      <c r="F47" s="11" t="n">
        <v>35000</v>
      </c>
      <c r="G47" s="11" t="n">
        <v>35</v>
      </c>
    </row>
    <row r="48" customFormat="false" ht="15" hidden="false" customHeight="false" outlineLevel="0" collapsed="false">
      <c r="A48" s="11"/>
      <c r="B48" s="11" t="n">
        <v>2</v>
      </c>
      <c r="C48" s="11" t="n">
        <v>10000</v>
      </c>
      <c r="D48" s="11" t="n">
        <v>14</v>
      </c>
      <c r="E48" s="11" t="n">
        <v>250</v>
      </c>
      <c r="F48" s="11" t="n">
        <v>70000</v>
      </c>
      <c r="G48" s="11" t="n">
        <v>70</v>
      </c>
    </row>
    <row r="49" customFormat="false" ht="15" hidden="false" customHeight="false" outlineLevel="0" collapsed="false">
      <c r="A49" s="11"/>
      <c r="B49" s="11" t="n">
        <v>2</v>
      </c>
      <c r="C49" s="11" t="n">
        <v>10000</v>
      </c>
      <c r="D49" s="11" t="n">
        <v>14</v>
      </c>
      <c r="E49" s="11" t="n">
        <v>500</v>
      </c>
      <c r="F49" s="11" t="n">
        <v>140000</v>
      </c>
      <c r="G49" s="11" t="n">
        <v>140</v>
      </c>
    </row>
    <row r="50" customFormat="false" ht="15" hidden="false" customHeight="false" outlineLevel="0" collapsed="false">
      <c r="A50" s="11"/>
      <c r="B50" s="11" t="n">
        <v>2</v>
      </c>
      <c r="C50" s="11" t="n">
        <v>10000</v>
      </c>
      <c r="D50" s="11" t="n">
        <v>14</v>
      </c>
      <c r="E50" s="11" t="n">
        <v>1000</v>
      </c>
      <c r="F50" s="11" t="n">
        <v>280000</v>
      </c>
      <c r="G50" s="11" t="n">
        <v>280</v>
      </c>
    </row>
    <row r="51" customFormat="false" ht="15" hidden="false" customHeight="false" outlineLevel="0" collapsed="false">
      <c r="A51" s="12"/>
      <c r="B51" s="13" t="s">
        <v>389</v>
      </c>
      <c r="C51" s="14"/>
      <c r="D51" s="14"/>
      <c r="E51" s="14"/>
      <c r="F51" s="13" t="n">
        <f aca="false">SUM(F47:F50)</f>
        <v>525000</v>
      </c>
      <c r="G51" s="13" t="n">
        <f aca="false">SUM(G47:G50)</f>
        <v>525</v>
      </c>
    </row>
    <row r="52" customFormat="false" ht="15" hidden="false" customHeight="false" outlineLevel="0" collapsed="false">
      <c r="A52" s="10" t="s">
        <v>400</v>
      </c>
      <c r="B52" s="11" t="n">
        <v>6</v>
      </c>
      <c r="C52" s="11" t="n">
        <v>11500</v>
      </c>
      <c r="D52" s="11" t="n">
        <v>28</v>
      </c>
      <c r="E52" s="11" t="n">
        <v>250</v>
      </c>
      <c r="F52" s="11" t="n">
        <v>483000</v>
      </c>
      <c r="G52" s="11" t="n">
        <v>483</v>
      </c>
    </row>
    <row r="53" customFormat="false" ht="15" hidden="false" customHeight="false" outlineLevel="0" collapsed="false">
      <c r="A53" s="11"/>
      <c r="B53" s="11" t="n">
        <v>6</v>
      </c>
      <c r="C53" s="11" t="n">
        <v>11500</v>
      </c>
      <c r="D53" s="11" t="n">
        <v>28</v>
      </c>
      <c r="E53" s="11" t="n">
        <v>500</v>
      </c>
      <c r="F53" s="11" t="n">
        <v>966000</v>
      </c>
      <c r="G53" s="11" t="n">
        <v>966</v>
      </c>
    </row>
    <row r="54" customFormat="false" ht="15" hidden="false" customHeight="false" outlineLevel="0" collapsed="false">
      <c r="A54" s="11"/>
      <c r="B54" s="11" t="n">
        <v>10</v>
      </c>
      <c r="C54" s="11" t="n">
        <v>11500</v>
      </c>
      <c r="D54" s="11" t="n">
        <v>28</v>
      </c>
      <c r="E54" s="11" t="n">
        <v>1000</v>
      </c>
      <c r="F54" s="11" t="n">
        <v>3220000</v>
      </c>
      <c r="G54" s="11" t="n">
        <v>3220</v>
      </c>
    </row>
    <row r="55" customFormat="false" ht="15" hidden="false" customHeight="false" outlineLevel="0" collapsed="false">
      <c r="A55" s="12"/>
      <c r="B55" s="13" t="s">
        <v>389</v>
      </c>
      <c r="C55" s="14"/>
      <c r="D55" s="14"/>
      <c r="E55" s="14"/>
      <c r="F55" s="13" t="n">
        <f aca="false">SUM(F52:F54)</f>
        <v>4669000</v>
      </c>
      <c r="G55" s="13" t="n">
        <f aca="false">SUM(G52:G54)</f>
        <v>4669</v>
      </c>
    </row>
    <row r="56" customFormat="false" ht="15" hidden="false" customHeight="false" outlineLevel="0" collapsed="false">
      <c r="A56" s="10" t="s">
        <v>401</v>
      </c>
      <c r="B56" s="11" t="n">
        <v>2</v>
      </c>
      <c r="C56" s="11" t="n">
        <v>10000</v>
      </c>
      <c r="D56" s="11" t="n">
        <v>28</v>
      </c>
      <c r="E56" s="11" t="n">
        <v>125</v>
      </c>
      <c r="F56" s="11" t="n">
        <v>70000</v>
      </c>
      <c r="G56" s="11" t="n">
        <v>70</v>
      </c>
    </row>
    <row r="57" customFormat="false" ht="15" hidden="false" customHeight="false" outlineLevel="0" collapsed="false">
      <c r="A57" s="11"/>
      <c r="B57" s="11" t="n">
        <v>2</v>
      </c>
      <c r="C57" s="11" t="n">
        <v>10000</v>
      </c>
      <c r="D57" s="11" t="n">
        <v>28</v>
      </c>
      <c r="E57" s="11" t="n">
        <v>250</v>
      </c>
      <c r="F57" s="11" t="n">
        <v>140000</v>
      </c>
      <c r="G57" s="11" t="n">
        <v>140</v>
      </c>
    </row>
    <row r="58" customFormat="false" ht="15" hidden="false" customHeight="false" outlineLevel="0" collapsed="false">
      <c r="A58" s="11"/>
      <c r="B58" s="11" t="n">
        <v>2</v>
      </c>
      <c r="C58" s="11" t="n">
        <v>10000</v>
      </c>
      <c r="D58" s="11" t="n">
        <v>28</v>
      </c>
      <c r="E58" s="11" t="n">
        <v>500</v>
      </c>
      <c r="F58" s="11" t="n">
        <v>280000</v>
      </c>
      <c r="G58" s="11" t="n">
        <v>280</v>
      </c>
    </row>
    <row r="59" customFormat="false" ht="15" hidden="false" customHeight="false" outlineLevel="0" collapsed="false">
      <c r="A59" s="11"/>
      <c r="B59" s="11" t="n">
        <v>2</v>
      </c>
      <c r="C59" s="11" t="n">
        <v>10000</v>
      </c>
      <c r="D59" s="11" t="n">
        <v>28</v>
      </c>
      <c r="E59" s="11" t="n">
        <v>1000</v>
      </c>
      <c r="F59" s="11" t="n">
        <v>560000</v>
      </c>
      <c r="G59" s="11" t="n">
        <v>560</v>
      </c>
    </row>
    <row r="60" customFormat="false" ht="15" hidden="false" customHeight="false" outlineLevel="0" collapsed="false">
      <c r="A60" s="12"/>
      <c r="B60" s="13" t="s">
        <v>389</v>
      </c>
      <c r="C60" s="14"/>
      <c r="D60" s="14"/>
      <c r="E60" s="14"/>
      <c r="F60" s="13" t="n">
        <f aca="false">SUM(F56:F59)</f>
        <v>1050000</v>
      </c>
      <c r="G60" s="13" t="n">
        <f aca="false">SUM(G56:G59)</f>
        <v>1050</v>
      </c>
    </row>
    <row r="61" customFormat="false" ht="15" hidden="false" customHeight="false" outlineLevel="0" collapsed="false">
      <c r="A61" s="10" t="s">
        <v>402</v>
      </c>
      <c r="B61" s="11" t="n">
        <v>8</v>
      </c>
      <c r="C61" s="11" t="n">
        <v>11500</v>
      </c>
      <c r="D61" s="11" t="n">
        <v>91</v>
      </c>
      <c r="E61" s="11" t="n">
        <v>250</v>
      </c>
      <c r="F61" s="11" t="n">
        <v>2093000</v>
      </c>
      <c r="G61" s="11" t="n">
        <v>2093</v>
      </c>
    </row>
    <row r="62" customFormat="false" ht="15" hidden="false" customHeight="false" outlineLevel="0" collapsed="false">
      <c r="A62" s="11"/>
      <c r="B62" s="11" t="n">
        <v>8</v>
      </c>
      <c r="C62" s="11" t="n">
        <v>11500</v>
      </c>
      <c r="D62" s="11" t="n">
        <v>91</v>
      </c>
      <c r="E62" s="11" t="n">
        <v>500</v>
      </c>
      <c r="F62" s="11" t="n">
        <v>4186000</v>
      </c>
      <c r="G62" s="11" t="n">
        <v>4186</v>
      </c>
    </row>
    <row r="63" customFormat="false" ht="15" hidden="false" customHeight="false" outlineLevel="0" collapsed="false">
      <c r="A63" s="11"/>
      <c r="B63" s="11" t="n">
        <v>12</v>
      </c>
      <c r="C63" s="11" t="n">
        <v>11500</v>
      </c>
      <c r="D63" s="11" t="n">
        <v>91</v>
      </c>
      <c r="E63" s="11" t="n">
        <v>1000</v>
      </c>
      <c r="F63" s="11" t="n">
        <v>12558000</v>
      </c>
      <c r="G63" s="11" t="n">
        <v>12558</v>
      </c>
    </row>
    <row r="64" customFormat="false" ht="15" hidden="false" customHeight="false" outlineLevel="0" collapsed="false">
      <c r="A64" s="12"/>
      <c r="B64" s="13" t="s">
        <v>389</v>
      </c>
      <c r="C64" s="14"/>
      <c r="D64" s="14"/>
      <c r="E64" s="14"/>
      <c r="F64" s="13" t="n">
        <f aca="false">SUM(F61:F63)</f>
        <v>18837000</v>
      </c>
      <c r="G64" s="13" t="n">
        <f aca="false">SUM(G61:G63)</f>
        <v>18837</v>
      </c>
    </row>
    <row r="65" customFormat="false" ht="15" hidden="false" customHeight="false" outlineLevel="0" collapsed="false">
      <c r="A65" s="10" t="s">
        <v>403</v>
      </c>
      <c r="B65" s="11" t="n">
        <v>2</v>
      </c>
      <c r="C65" s="11" t="n">
        <v>10000</v>
      </c>
      <c r="D65" s="11" t="n">
        <v>91</v>
      </c>
      <c r="E65" s="11" t="n">
        <v>125</v>
      </c>
      <c r="F65" s="11" t="n">
        <v>227500</v>
      </c>
      <c r="G65" s="11" t="n">
        <v>227.5</v>
      </c>
    </row>
    <row r="66" customFormat="false" ht="15" hidden="false" customHeight="false" outlineLevel="0" collapsed="false">
      <c r="A66" s="11"/>
      <c r="B66" s="11" t="n">
        <v>2</v>
      </c>
      <c r="C66" s="11" t="n">
        <v>10000</v>
      </c>
      <c r="D66" s="11" t="n">
        <v>91</v>
      </c>
      <c r="E66" s="11" t="n">
        <v>250</v>
      </c>
      <c r="F66" s="11" t="n">
        <v>455000</v>
      </c>
      <c r="G66" s="11" t="n">
        <v>455</v>
      </c>
    </row>
    <row r="67" customFormat="false" ht="15" hidden="false" customHeight="false" outlineLevel="0" collapsed="false">
      <c r="A67" s="11"/>
      <c r="B67" s="11" t="n">
        <v>2</v>
      </c>
      <c r="C67" s="11" t="n">
        <v>10000</v>
      </c>
      <c r="D67" s="11" t="n">
        <v>91</v>
      </c>
      <c r="E67" s="11" t="n">
        <v>500</v>
      </c>
      <c r="F67" s="11" t="n">
        <v>910000</v>
      </c>
      <c r="G67" s="11" t="n">
        <v>910</v>
      </c>
    </row>
    <row r="68" customFormat="false" ht="15" hidden="false" customHeight="false" outlineLevel="0" collapsed="false">
      <c r="A68" s="11"/>
      <c r="B68" s="11" t="n">
        <v>2</v>
      </c>
      <c r="C68" s="11" t="n">
        <v>10000</v>
      </c>
      <c r="D68" s="11" t="n">
        <v>91</v>
      </c>
      <c r="E68" s="11" t="n">
        <v>1000</v>
      </c>
      <c r="F68" s="11" t="n">
        <v>1820000</v>
      </c>
      <c r="G68" s="11" t="n">
        <v>1820</v>
      </c>
    </row>
    <row r="69" customFormat="false" ht="15" hidden="false" customHeight="false" outlineLevel="0" collapsed="false">
      <c r="A69" s="12"/>
      <c r="B69" s="13" t="s">
        <v>389</v>
      </c>
      <c r="C69" s="14"/>
      <c r="D69" s="14"/>
      <c r="E69" s="14"/>
      <c r="F69" s="13" t="n">
        <f aca="false">SUM(F65:F68)</f>
        <v>3412500</v>
      </c>
      <c r="G69" s="13" t="n">
        <f aca="false">SUM(G65:G68)</f>
        <v>3412.5</v>
      </c>
    </row>
    <row r="70" customFormat="false" ht="15" hidden="false" customHeight="false" outlineLevel="0" collapsed="false">
      <c r="A70" s="10" t="s">
        <v>404</v>
      </c>
      <c r="B70" s="11" t="n">
        <v>8</v>
      </c>
      <c r="C70" s="11" t="n">
        <v>11500</v>
      </c>
      <c r="D70" s="11" t="n">
        <v>91</v>
      </c>
      <c r="E70" s="11" t="n">
        <v>250</v>
      </c>
      <c r="F70" s="11" t="n">
        <v>2093000</v>
      </c>
      <c r="G70" s="11" t="n">
        <v>2093</v>
      </c>
    </row>
    <row r="71" customFormat="false" ht="15" hidden="false" customHeight="false" outlineLevel="0" collapsed="false">
      <c r="A71" s="11"/>
      <c r="B71" s="11" t="n">
        <v>8</v>
      </c>
      <c r="C71" s="11" t="n">
        <v>11500</v>
      </c>
      <c r="D71" s="11" t="n">
        <v>91</v>
      </c>
      <c r="E71" s="11" t="n">
        <v>500</v>
      </c>
      <c r="F71" s="11" t="n">
        <v>4186000</v>
      </c>
      <c r="G71" s="11" t="n">
        <v>4186</v>
      </c>
    </row>
    <row r="72" customFormat="false" ht="15" hidden="false" customHeight="false" outlineLevel="0" collapsed="false">
      <c r="A72" s="11"/>
      <c r="B72" s="11" t="n">
        <v>12</v>
      </c>
      <c r="C72" s="11" t="n">
        <v>11500</v>
      </c>
      <c r="D72" s="11" t="n">
        <v>91</v>
      </c>
      <c r="E72" s="11" t="n">
        <v>1000</v>
      </c>
      <c r="F72" s="11" t="n">
        <v>12558000</v>
      </c>
      <c r="G72" s="11" t="n">
        <v>12558</v>
      </c>
    </row>
    <row r="73" customFormat="false" ht="15" hidden="false" customHeight="false" outlineLevel="0" collapsed="false">
      <c r="A73" s="12"/>
      <c r="B73" s="13" t="s">
        <v>389</v>
      </c>
      <c r="C73" s="14"/>
      <c r="D73" s="14"/>
      <c r="E73" s="14"/>
      <c r="F73" s="13" t="n">
        <f aca="false">SUM(F70:F72)</f>
        <v>18837000</v>
      </c>
      <c r="G73" s="13" t="n">
        <f aca="false">SUM(G70:G72)</f>
        <v>18837</v>
      </c>
    </row>
    <row r="74" customFormat="false" ht="15" hidden="false" customHeight="false" outlineLevel="0" collapsed="false">
      <c r="A74" s="10" t="s">
        <v>405</v>
      </c>
      <c r="B74" s="11" t="n">
        <v>25</v>
      </c>
      <c r="C74" s="11" t="n">
        <v>350</v>
      </c>
      <c r="D74" s="11" t="n">
        <v>28</v>
      </c>
      <c r="E74" s="11" t="n">
        <v>100</v>
      </c>
      <c r="F74" s="11" t="n">
        <v>24500</v>
      </c>
      <c r="G74" s="11" t="n">
        <v>24.5</v>
      </c>
    </row>
    <row r="75" customFormat="false" ht="15" hidden="false" customHeight="false" outlineLevel="0" collapsed="false">
      <c r="A75" s="11"/>
      <c r="B75" s="11" t="n">
        <v>25</v>
      </c>
      <c r="C75" s="11" t="n">
        <v>350</v>
      </c>
      <c r="D75" s="11" t="n">
        <v>28</v>
      </c>
      <c r="E75" s="11" t="n">
        <v>300</v>
      </c>
      <c r="F75" s="11" t="n">
        <v>73500</v>
      </c>
      <c r="G75" s="11" t="n">
        <v>73.5</v>
      </c>
    </row>
    <row r="76" customFormat="false" ht="15" hidden="false" customHeight="false" outlineLevel="0" collapsed="false">
      <c r="A76" s="11"/>
      <c r="B76" s="11" t="n">
        <v>25</v>
      </c>
      <c r="C76" s="11" t="n">
        <v>350</v>
      </c>
      <c r="D76" s="11" t="n">
        <v>28</v>
      </c>
      <c r="E76" s="11" t="n">
        <v>1000</v>
      </c>
      <c r="F76" s="11" t="n">
        <v>245000</v>
      </c>
      <c r="G76" s="11" t="n">
        <v>245</v>
      </c>
    </row>
    <row r="77" customFormat="false" ht="15" hidden="false" customHeight="false" outlineLevel="0" collapsed="false">
      <c r="A77" s="12"/>
      <c r="B77" s="13" t="s">
        <v>389</v>
      </c>
      <c r="C77" s="14"/>
      <c r="D77" s="14"/>
      <c r="E77" s="14"/>
      <c r="F77" s="13" t="n">
        <f aca="false">SUM(F74:F76)</f>
        <v>343000</v>
      </c>
      <c r="G77" s="13" t="n">
        <f aca="false">SUM(G74:G76)</f>
        <v>343</v>
      </c>
    </row>
    <row r="78" customFormat="false" ht="15" hidden="false" customHeight="false" outlineLevel="0" collapsed="false">
      <c r="A78" s="10" t="s">
        <v>406</v>
      </c>
      <c r="B78" s="11" t="n">
        <v>25</v>
      </c>
      <c r="C78" s="11" t="n">
        <v>300</v>
      </c>
      <c r="D78" s="11" t="n">
        <v>21</v>
      </c>
      <c r="E78" s="11" t="n">
        <v>100</v>
      </c>
      <c r="F78" s="11" t="n">
        <v>15750</v>
      </c>
      <c r="G78" s="11" t="n">
        <v>15.75</v>
      </c>
    </row>
    <row r="79" customFormat="false" ht="15" hidden="false" customHeight="false" outlineLevel="0" collapsed="false">
      <c r="A79" s="11"/>
      <c r="B79" s="11" t="n">
        <v>25</v>
      </c>
      <c r="C79" s="11" t="n">
        <v>300</v>
      </c>
      <c r="D79" s="11" t="n">
        <v>21</v>
      </c>
      <c r="E79" s="11" t="n">
        <v>300</v>
      </c>
      <c r="F79" s="11" t="n">
        <v>47250</v>
      </c>
      <c r="G79" s="11" t="n">
        <v>47.25</v>
      </c>
    </row>
    <row r="80" customFormat="false" ht="15" hidden="false" customHeight="false" outlineLevel="0" collapsed="false">
      <c r="A80" s="11"/>
      <c r="B80" s="11" t="n">
        <v>25</v>
      </c>
      <c r="C80" s="11" t="n">
        <v>300</v>
      </c>
      <c r="D80" s="11" t="n">
        <v>21</v>
      </c>
      <c r="E80" s="11" t="n">
        <v>1000</v>
      </c>
      <c r="F80" s="11" t="n">
        <v>157500</v>
      </c>
      <c r="G80" s="11" t="n">
        <v>157.5</v>
      </c>
    </row>
    <row r="81" customFormat="false" ht="15" hidden="false" customHeight="false" outlineLevel="0" collapsed="false">
      <c r="A81" s="12"/>
      <c r="B81" s="13" t="s">
        <v>389</v>
      </c>
      <c r="C81" s="14"/>
      <c r="D81" s="14"/>
      <c r="E81" s="14"/>
      <c r="F81" s="13" t="n">
        <f aca="false">SUM(F78:F80)</f>
        <v>220500</v>
      </c>
      <c r="G81" s="13" t="n">
        <f aca="false">SUM(G78:G80)</f>
        <v>220.5</v>
      </c>
    </row>
    <row r="82" customFormat="false" ht="15" hidden="false" customHeight="false" outlineLevel="0" collapsed="false">
      <c r="A82" s="10" t="s">
        <v>407</v>
      </c>
      <c r="B82" s="11" t="n">
        <v>25</v>
      </c>
      <c r="C82" s="11" t="n">
        <v>350</v>
      </c>
      <c r="D82" s="11" t="n">
        <v>25</v>
      </c>
      <c r="E82" s="11" t="n">
        <v>100</v>
      </c>
      <c r="F82" s="11" t="n">
        <v>21875</v>
      </c>
      <c r="G82" s="11" t="n">
        <v>21.875</v>
      </c>
    </row>
    <row r="83" customFormat="false" ht="15" hidden="false" customHeight="false" outlineLevel="0" collapsed="false">
      <c r="A83" s="11"/>
      <c r="B83" s="11" t="n">
        <v>25</v>
      </c>
      <c r="C83" s="11" t="n">
        <v>350</v>
      </c>
      <c r="D83" s="11" t="n">
        <v>25</v>
      </c>
      <c r="E83" s="11" t="n">
        <v>300</v>
      </c>
      <c r="F83" s="11" t="n">
        <v>65625</v>
      </c>
      <c r="G83" s="11" t="n">
        <v>65.625</v>
      </c>
    </row>
    <row r="84" customFormat="false" ht="15" hidden="false" customHeight="false" outlineLevel="0" collapsed="false">
      <c r="A84" s="11"/>
      <c r="B84" s="11" t="n">
        <v>25</v>
      </c>
      <c r="C84" s="11" t="n">
        <v>350</v>
      </c>
      <c r="D84" s="11" t="n">
        <v>25</v>
      </c>
      <c r="E84" s="11" t="n">
        <v>1000</v>
      </c>
      <c r="F84" s="11" t="n">
        <v>218750</v>
      </c>
      <c r="G84" s="11" t="n">
        <v>218.75</v>
      </c>
    </row>
    <row r="85" customFormat="false" ht="15" hidden="false" customHeight="false" outlineLevel="0" collapsed="false">
      <c r="A85" s="12"/>
      <c r="B85" s="13" t="s">
        <v>389</v>
      </c>
      <c r="C85" s="14"/>
      <c r="D85" s="14"/>
      <c r="E85" s="14"/>
      <c r="F85" s="13" t="n">
        <f aca="false">SUM(F82:F84)</f>
        <v>306250</v>
      </c>
      <c r="G85" s="13" t="n">
        <f aca="false">SUM(G82:G84)</f>
        <v>306.25</v>
      </c>
    </row>
    <row r="86" customFormat="false" ht="15" hidden="false" customHeight="false" outlineLevel="0" collapsed="false">
      <c r="A86" s="10" t="s">
        <v>408</v>
      </c>
      <c r="B86" s="11" t="n">
        <v>5</v>
      </c>
      <c r="C86" s="11" t="n">
        <v>330</v>
      </c>
      <c r="D86" s="11" t="n">
        <v>13</v>
      </c>
      <c r="E86" s="11" t="n">
        <v>75</v>
      </c>
      <c r="F86" s="11" t="n">
        <v>1608.75</v>
      </c>
      <c r="G86" s="11" t="n">
        <v>1.609</v>
      </c>
    </row>
    <row r="87" customFormat="false" ht="15" hidden="false" customHeight="false" outlineLevel="0" collapsed="false">
      <c r="A87" s="11"/>
      <c r="B87" s="11" t="n">
        <v>5</v>
      </c>
      <c r="C87" s="11" t="n">
        <v>330</v>
      </c>
      <c r="D87" s="11" t="n">
        <v>13</v>
      </c>
      <c r="E87" s="11" t="n">
        <v>125</v>
      </c>
      <c r="F87" s="11" t="n">
        <v>2681.25</v>
      </c>
      <c r="G87" s="11" t="n">
        <v>2.681</v>
      </c>
    </row>
    <row r="88" customFormat="false" ht="15" hidden="false" customHeight="false" outlineLevel="0" collapsed="false">
      <c r="A88" s="11"/>
      <c r="B88" s="11" t="n">
        <v>5</v>
      </c>
      <c r="C88" s="11" t="n">
        <v>330</v>
      </c>
      <c r="D88" s="11" t="n">
        <v>13</v>
      </c>
      <c r="E88" s="11" t="n">
        <v>250</v>
      </c>
      <c r="F88" s="11" t="n">
        <v>5362.5</v>
      </c>
      <c r="G88" s="11" t="n">
        <v>5.363</v>
      </c>
    </row>
    <row r="89" customFormat="false" ht="15" hidden="false" customHeight="false" outlineLevel="0" collapsed="false">
      <c r="A89" s="11"/>
      <c r="B89" s="11" t="n">
        <v>5</v>
      </c>
      <c r="C89" s="11" t="n">
        <v>330</v>
      </c>
      <c r="D89" s="11" t="n">
        <v>13</v>
      </c>
      <c r="E89" s="11" t="n">
        <v>500</v>
      </c>
      <c r="F89" s="11" t="n">
        <v>10725</v>
      </c>
      <c r="G89" s="11" t="n">
        <v>10.725</v>
      </c>
    </row>
    <row r="90" customFormat="false" ht="15" hidden="false" customHeight="false" outlineLevel="0" collapsed="false">
      <c r="A90" s="11"/>
      <c r="B90" s="11" t="n">
        <v>5</v>
      </c>
      <c r="C90" s="11" t="n">
        <v>330</v>
      </c>
      <c r="D90" s="11" t="n">
        <v>13</v>
      </c>
      <c r="E90" s="11" t="n">
        <v>1000</v>
      </c>
      <c r="F90" s="11" t="n">
        <v>21450</v>
      </c>
      <c r="G90" s="11" t="n">
        <v>21.45</v>
      </c>
    </row>
    <row r="91" customFormat="false" ht="15" hidden="false" customHeight="false" outlineLevel="0" collapsed="false">
      <c r="A91" s="12"/>
      <c r="B91" s="13" t="s">
        <v>389</v>
      </c>
      <c r="C91" s="14"/>
      <c r="D91" s="14"/>
      <c r="E91" s="14"/>
      <c r="F91" s="13" t="n">
        <f aca="false">SUM(F86:F90)</f>
        <v>41827.5</v>
      </c>
      <c r="G91" s="13" t="n">
        <f aca="false">SUM(G86:G90)</f>
        <v>41.828</v>
      </c>
    </row>
    <row r="92" customFormat="false" ht="15" hidden="false" customHeight="false" outlineLevel="0" collapsed="false">
      <c r="A92" s="10" t="s">
        <v>409</v>
      </c>
      <c r="B92" s="11" t="n">
        <v>25</v>
      </c>
      <c r="C92" s="11" t="n">
        <v>330</v>
      </c>
      <c r="D92" s="11" t="n">
        <v>13</v>
      </c>
      <c r="E92" s="11" t="n">
        <v>100</v>
      </c>
      <c r="F92" s="11" t="n">
        <v>10725</v>
      </c>
      <c r="G92" s="11" t="n">
        <v>10.725</v>
      </c>
    </row>
    <row r="93" customFormat="false" ht="15" hidden="false" customHeight="false" outlineLevel="0" collapsed="false">
      <c r="A93" s="11"/>
      <c r="B93" s="11" t="n">
        <v>25</v>
      </c>
      <c r="C93" s="11" t="n">
        <v>330</v>
      </c>
      <c r="D93" s="11" t="n">
        <v>13</v>
      </c>
      <c r="E93" s="11" t="n">
        <v>300</v>
      </c>
      <c r="F93" s="11" t="n">
        <v>32175</v>
      </c>
      <c r="G93" s="11" t="n">
        <v>32.175</v>
      </c>
    </row>
    <row r="94" customFormat="false" ht="15" hidden="false" customHeight="false" outlineLevel="0" collapsed="false">
      <c r="A94" s="11"/>
      <c r="B94" s="11" t="n">
        <v>25</v>
      </c>
      <c r="C94" s="11" t="n">
        <v>330</v>
      </c>
      <c r="D94" s="11" t="n">
        <v>13</v>
      </c>
      <c r="E94" s="11" t="n">
        <v>1000</v>
      </c>
      <c r="F94" s="11" t="n">
        <v>107250</v>
      </c>
      <c r="G94" s="11" t="n">
        <v>107.25</v>
      </c>
    </row>
    <row r="95" customFormat="false" ht="15" hidden="false" customHeight="false" outlineLevel="0" collapsed="false">
      <c r="A95" s="12"/>
      <c r="B95" s="13" t="s">
        <v>389</v>
      </c>
      <c r="C95" s="14"/>
      <c r="D95" s="14"/>
      <c r="E95" s="14"/>
      <c r="F95" s="13" t="n">
        <f aca="false">SUM(F92:F94)</f>
        <v>150150</v>
      </c>
      <c r="G95" s="13" t="n">
        <f aca="false">SUM(G92:G94)</f>
        <v>150.15</v>
      </c>
    </row>
    <row r="96" customFormat="false" ht="15" hidden="false" customHeight="false" outlineLevel="0" collapsed="false">
      <c r="A96" s="10" t="s">
        <v>410</v>
      </c>
      <c r="B96" s="11" t="n">
        <v>5</v>
      </c>
      <c r="C96" s="11" t="n">
        <v>3500</v>
      </c>
      <c r="D96" s="11" t="n">
        <v>13</v>
      </c>
      <c r="E96" s="11" t="n">
        <v>75</v>
      </c>
      <c r="F96" s="11" t="n">
        <v>17062.5</v>
      </c>
      <c r="G96" s="11" t="n">
        <v>17.062</v>
      </c>
    </row>
    <row r="97" customFormat="false" ht="15" hidden="false" customHeight="false" outlineLevel="0" collapsed="false">
      <c r="A97" s="11"/>
      <c r="B97" s="11" t="n">
        <v>5</v>
      </c>
      <c r="C97" s="11" t="n">
        <v>3500</v>
      </c>
      <c r="D97" s="11" t="n">
        <v>13</v>
      </c>
      <c r="E97" s="11" t="n">
        <v>125</v>
      </c>
      <c r="F97" s="11" t="n">
        <v>28437.5</v>
      </c>
      <c r="G97" s="11" t="n">
        <v>28.438</v>
      </c>
    </row>
    <row r="98" customFormat="false" ht="15" hidden="false" customHeight="false" outlineLevel="0" collapsed="false">
      <c r="A98" s="11"/>
      <c r="B98" s="11" t="n">
        <v>5</v>
      </c>
      <c r="C98" s="11" t="n">
        <v>3500</v>
      </c>
      <c r="D98" s="11" t="n">
        <v>13</v>
      </c>
      <c r="E98" s="11" t="n">
        <v>250</v>
      </c>
      <c r="F98" s="11" t="n">
        <v>56875</v>
      </c>
      <c r="G98" s="11" t="n">
        <v>56.875</v>
      </c>
    </row>
    <row r="99" customFormat="false" ht="15" hidden="false" customHeight="false" outlineLevel="0" collapsed="false">
      <c r="A99" s="11"/>
      <c r="B99" s="11" t="n">
        <v>5</v>
      </c>
      <c r="C99" s="11" t="n">
        <v>3500</v>
      </c>
      <c r="D99" s="11" t="n">
        <v>13</v>
      </c>
      <c r="E99" s="11" t="n">
        <v>500</v>
      </c>
      <c r="F99" s="11" t="n">
        <v>113750</v>
      </c>
      <c r="G99" s="11" t="n">
        <v>113.75</v>
      </c>
    </row>
    <row r="100" customFormat="false" ht="15" hidden="false" customHeight="false" outlineLevel="0" collapsed="false">
      <c r="A100" s="11"/>
      <c r="B100" s="11" t="n">
        <v>5</v>
      </c>
      <c r="C100" s="11" t="n">
        <v>3500</v>
      </c>
      <c r="D100" s="11" t="n">
        <v>13</v>
      </c>
      <c r="E100" s="11" t="n">
        <v>1000</v>
      </c>
      <c r="F100" s="11" t="n">
        <v>227500</v>
      </c>
      <c r="G100" s="11" t="n">
        <v>227.5</v>
      </c>
    </row>
    <row r="101" customFormat="false" ht="15" hidden="false" customHeight="false" outlineLevel="0" collapsed="false">
      <c r="A101" s="12"/>
      <c r="B101" s="13" t="s">
        <v>389</v>
      </c>
      <c r="C101" s="14"/>
      <c r="D101" s="14"/>
      <c r="E101" s="14"/>
      <c r="F101" s="13" t="n">
        <f aca="false">SUM(F96:F100)</f>
        <v>443625</v>
      </c>
      <c r="G101" s="13" t="n">
        <f aca="false">SUM(G96:G100)</f>
        <v>443.625</v>
      </c>
    </row>
    <row r="102" customFormat="false" ht="15" hidden="false" customHeight="false" outlineLevel="0" collapsed="false">
      <c r="A102" s="10" t="s">
        <v>411</v>
      </c>
      <c r="B102" s="11" t="n">
        <v>25</v>
      </c>
      <c r="C102" s="11" t="n">
        <v>3500</v>
      </c>
      <c r="D102" s="11" t="n">
        <v>13</v>
      </c>
      <c r="E102" s="11" t="n">
        <v>100</v>
      </c>
      <c r="F102" s="11" t="n">
        <v>113750</v>
      </c>
      <c r="G102" s="11" t="n">
        <v>113.75</v>
      </c>
    </row>
    <row r="103" customFormat="false" ht="15" hidden="false" customHeight="false" outlineLevel="0" collapsed="false">
      <c r="A103" s="11"/>
      <c r="B103" s="11" t="n">
        <v>25</v>
      </c>
      <c r="C103" s="11" t="n">
        <v>3500</v>
      </c>
      <c r="D103" s="11" t="n">
        <v>13</v>
      </c>
      <c r="E103" s="11" t="n">
        <v>300</v>
      </c>
      <c r="F103" s="11" t="n">
        <v>341250</v>
      </c>
      <c r="G103" s="11" t="n">
        <v>341.25</v>
      </c>
    </row>
    <row r="104" customFormat="false" ht="15" hidden="false" customHeight="false" outlineLevel="0" collapsed="false">
      <c r="A104" s="11"/>
      <c r="B104" s="11" t="n">
        <v>25</v>
      </c>
      <c r="C104" s="11" t="n">
        <v>3500</v>
      </c>
      <c r="D104" s="11" t="n">
        <v>13</v>
      </c>
      <c r="E104" s="11" t="n">
        <v>1000</v>
      </c>
      <c r="F104" s="11" t="n">
        <v>1137500</v>
      </c>
      <c r="G104" s="11" t="n">
        <v>1137.5</v>
      </c>
    </row>
    <row r="105" customFormat="false" ht="15" hidden="false" customHeight="false" outlineLevel="0" collapsed="false">
      <c r="A105" s="12"/>
      <c r="B105" s="13" t="s">
        <v>389</v>
      </c>
      <c r="C105" s="14"/>
      <c r="D105" s="14"/>
      <c r="E105" s="14"/>
      <c r="F105" s="13" t="n">
        <f aca="false">SUM(F102:F104)</f>
        <v>1592500</v>
      </c>
      <c r="G105" s="13" t="n">
        <f aca="false">SUM(G102:G104)</f>
        <v>1592.5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5" min="4" style="0" width="20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20.1" hidden="false" customHeight="false" outlineLevel="0" collapsed="false">
      <c r="A1" s="8" t="s">
        <v>412</v>
      </c>
    </row>
    <row r="3" customFormat="false" ht="15" hidden="false" customHeight="false" outlineLevel="0" collapsed="false">
      <c r="A3" s="15" t="s">
        <v>3</v>
      </c>
      <c r="B3" s="15" t="s">
        <v>4</v>
      </c>
      <c r="C3" s="15" t="s">
        <v>5</v>
      </c>
      <c r="D3" s="15" t="s">
        <v>413</v>
      </c>
      <c r="E3" s="15" t="s">
        <v>414</v>
      </c>
      <c r="F3" s="15" t="s">
        <v>415</v>
      </c>
      <c r="G3" s="15" t="s">
        <v>416</v>
      </c>
      <c r="H3" s="15" t="s">
        <v>10</v>
      </c>
    </row>
    <row r="4" customFormat="false" ht="15" hidden="false" customHeight="false" outlineLevel="0" collapsed="false">
      <c r="A4" s="16" t="s">
        <v>141</v>
      </c>
      <c r="B4" s="16" t="s">
        <v>142</v>
      </c>
      <c r="C4" s="16" t="s">
        <v>143</v>
      </c>
      <c r="D4" s="17" t="s">
        <v>417</v>
      </c>
      <c r="E4" s="17" t="s">
        <v>417</v>
      </c>
      <c r="F4" s="17" t="s">
        <v>417</v>
      </c>
      <c r="G4" s="17" t="s">
        <v>417</v>
      </c>
      <c r="H4" s="16" t="s">
        <v>147</v>
      </c>
    </row>
    <row r="5" customFormat="false" ht="15" hidden="false" customHeight="false" outlineLevel="0" collapsed="false">
      <c r="A5" s="18" t="s">
        <v>141</v>
      </c>
      <c r="B5" s="18" t="s">
        <v>142</v>
      </c>
      <c r="C5" s="18" t="s">
        <v>150</v>
      </c>
      <c r="D5" s="11" t="s">
        <v>418</v>
      </c>
      <c r="E5" s="11" t="s">
        <v>417</v>
      </c>
      <c r="F5" s="11" t="s">
        <v>418</v>
      </c>
      <c r="G5" s="11" t="s">
        <v>418</v>
      </c>
      <c r="H5" s="18" t="s">
        <v>147</v>
      </c>
    </row>
    <row r="6" customFormat="false" ht="15" hidden="false" customHeight="false" outlineLevel="0" collapsed="false">
      <c r="A6" s="16" t="s">
        <v>141</v>
      </c>
      <c r="B6" s="16" t="s">
        <v>142</v>
      </c>
      <c r="C6" s="16" t="s">
        <v>154</v>
      </c>
      <c r="D6" s="17" t="s">
        <v>419</v>
      </c>
      <c r="E6" s="17" t="s">
        <v>420</v>
      </c>
      <c r="F6" s="17" t="s">
        <v>419</v>
      </c>
      <c r="G6" s="17" t="s">
        <v>419</v>
      </c>
      <c r="H6" s="16" t="s">
        <v>147</v>
      </c>
    </row>
    <row r="7" customFormat="false" ht="15" hidden="false" customHeight="false" outlineLevel="0" collapsed="false">
      <c r="A7" s="18" t="s">
        <v>141</v>
      </c>
      <c r="B7" s="18" t="s">
        <v>142</v>
      </c>
      <c r="C7" s="18" t="s">
        <v>157</v>
      </c>
      <c r="D7" s="11" t="s">
        <v>421</v>
      </c>
      <c r="E7" s="11" t="s">
        <v>422</v>
      </c>
      <c r="F7" s="11" t="s">
        <v>421</v>
      </c>
      <c r="G7" s="11" t="s">
        <v>421</v>
      </c>
      <c r="H7" s="18" t="s">
        <v>147</v>
      </c>
    </row>
    <row r="8" customFormat="false" ht="15" hidden="false" customHeight="false" outlineLevel="0" collapsed="false">
      <c r="A8" s="16" t="s">
        <v>141</v>
      </c>
      <c r="B8" s="16" t="s">
        <v>142</v>
      </c>
      <c r="C8" s="16" t="s">
        <v>161</v>
      </c>
      <c r="D8" s="17" t="s">
        <v>423</v>
      </c>
      <c r="E8" s="17" t="s">
        <v>424</v>
      </c>
      <c r="F8" s="17" t="s">
        <v>423</v>
      </c>
      <c r="G8" s="17" t="s">
        <v>423</v>
      </c>
      <c r="H8" s="16" t="s">
        <v>147</v>
      </c>
    </row>
    <row r="9" customFormat="false" ht="15" hidden="false" customHeight="false" outlineLevel="0" collapsed="false">
      <c r="A9" s="18" t="s">
        <v>165</v>
      </c>
      <c r="B9" s="18" t="s">
        <v>142</v>
      </c>
      <c r="C9" s="18" t="s">
        <v>166</v>
      </c>
      <c r="D9" s="11" t="s">
        <v>425</v>
      </c>
      <c r="E9" s="11" t="s">
        <v>425</v>
      </c>
      <c r="F9" s="11" t="s">
        <v>425</v>
      </c>
      <c r="G9" s="11" t="s">
        <v>426</v>
      </c>
      <c r="H9" s="18" t="s">
        <v>169</v>
      </c>
    </row>
    <row r="10" customFormat="false" ht="15" hidden="false" customHeight="false" outlineLevel="0" collapsed="false">
      <c r="A10" s="16" t="s">
        <v>165</v>
      </c>
      <c r="B10" s="16" t="s">
        <v>142</v>
      </c>
      <c r="C10" s="16" t="s">
        <v>172</v>
      </c>
      <c r="D10" s="17" t="s">
        <v>425</v>
      </c>
      <c r="E10" s="17" t="s">
        <v>427</v>
      </c>
      <c r="F10" s="17" t="s">
        <v>427</v>
      </c>
      <c r="G10" s="17" t="s">
        <v>427</v>
      </c>
      <c r="H10" s="16" t="s">
        <v>174</v>
      </c>
    </row>
    <row r="11" customFormat="false" ht="15" hidden="false" customHeight="false" outlineLevel="0" collapsed="false">
      <c r="A11" s="18" t="s">
        <v>165</v>
      </c>
      <c r="B11" s="18" t="s">
        <v>142</v>
      </c>
      <c r="C11" s="18" t="s">
        <v>177</v>
      </c>
      <c r="D11" s="11" t="s">
        <v>428</v>
      </c>
      <c r="E11" s="11" t="s">
        <v>427</v>
      </c>
      <c r="F11" s="11" t="s">
        <v>427</v>
      </c>
      <c r="G11" s="11" t="s">
        <v>427</v>
      </c>
      <c r="H11" s="11"/>
    </row>
    <row r="12" customFormat="false" ht="15" hidden="false" customHeight="false" outlineLevel="0" collapsed="false">
      <c r="A12" s="16" t="s">
        <v>165</v>
      </c>
      <c r="B12" s="16" t="s">
        <v>142</v>
      </c>
      <c r="C12" s="16" t="s">
        <v>181</v>
      </c>
      <c r="D12" s="17" t="s">
        <v>429</v>
      </c>
      <c r="E12" s="17" t="s">
        <v>427</v>
      </c>
      <c r="F12" s="17" t="s">
        <v>427</v>
      </c>
      <c r="G12" s="17" t="s">
        <v>427</v>
      </c>
      <c r="H12" s="17"/>
    </row>
    <row r="13" customFormat="false" ht="15" hidden="false" customHeight="false" outlineLevel="0" collapsed="false">
      <c r="A13" s="18" t="s">
        <v>165</v>
      </c>
      <c r="B13" s="18" t="s">
        <v>142</v>
      </c>
      <c r="C13" s="18" t="s">
        <v>185</v>
      </c>
      <c r="D13" s="11" t="s">
        <v>425</v>
      </c>
      <c r="E13" s="11" t="s">
        <v>425</v>
      </c>
      <c r="F13" s="11" t="s">
        <v>425</v>
      </c>
      <c r="G13" s="11" t="s">
        <v>426</v>
      </c>
      <c r="H13" s="18" t="s">
        <v>169</v>
      </c>
    </row>
    <row r="14" customFormat="false" ht="15" hidden="false" customHeight="false" outlineLevel="0" collapsed="false">
      <c r="A14" s="16" t="s">
        <v>165</v>
      </c>
      <c r="B14" s="16" t="s">
        <v>142</v>
      </c>
      <c r="C14" s="16" t="s">
        <v>188</v>
      </c>
      <c r="D14" s="17" t="s">
        <v>429</v>
      </c>
      <c r="E14" s="17" t="s">
        <v>427</v>
      </c>
      <c r="F14" s="17" t="s">
        <v>427</v>
      </c>
      <c r="G14" s="17" t="s">
        <v>427</v>
      </c>
      <c r="H14" s="17"/>
    </row>
    <row r="15" customFormat="false" ht="15" hidden="false" customHeight="false" outlineLevel="0" collapsed="false">
      <c r="A15" s="18" t="s">
        <v>165</v>
      </c>
      <c r="B15" s="18" t="s">
        <v>142</v>
      </c>
      <c r="C15" s="18" t="s">
        <v>191</v>
      </c>
      <c r="D15" s="11" t="s">
        <v>430</v>
      </c>
      <c r="E15" s="11" t="s">
        <v>431</v>
      </c>
      <c r="F15" s="11" t="s">
        <v>430</v>
      </c>
      <c r="G15" s="11" t="s">
        <v>432</v>
      </c>
      <c r="H15" s="11" t="s">
        <v>193</v>
      </c>
    </row>
    <row r="16" customFormat="false" ht="15" hidden="false" customHeight="false" outlineLevel="0" collapsed="false">
      <c r="A16" s="16" t="s">
        <v>165</v>
      </c>
      <c r="B16" s="16" t="s">
        <v>142</v>
      </c>
      <c r="C16" s="16" t="s">
        <v>196</v>
      </c>
      <c r="D16" s="17" t="s">
        <v>433</v>
      </c>
      <c r="E16" s="17" t="s">
        <v>434</v>
      </c>
      <c r="F16" s="17" t="s">
        <v>433</v>
      </c>
      <c r="G16" s="17" t="s">
        <v>427</v>
      </c>
      <c r="H16" s="17" t="s">
        <v>193</v>
      </c>
    </row>
    <row r="17" customFormat="false" ht="15" hidden="false" customHeight="false" outlineLevel="0" collapsed="false">
      <c r="A17" s="18" t="s">
        <v>165</v>
      </c>
      <c r="B17" s="18" t="s">
        <v>142</v>
      </c>
      <c r="C17" s="18" t="s">
        <v>200</v>
      </c>
      <c r="D17" s="11" t="s">
        <v>435</v>
      </c>
      <c r="E17" s="11" t="s">
        <v>436</v>
      </c>
      <c r="F17" s="11" t="s">
        <v>435</v>
      </c>
      <c r="G17" s="11" t="s">
        <v>426</v>
      </c>
      <c r="H17" s="11" t="s">
        <v>193</v>
      </c>
    </row>
    <row r="18" customFormat="false" ht="15" hidden="false" customHeight="false" outlineLevel="0" collapsed="false">
      <c r="A18" s="16" t="s">
        <v>165</v>
      </c>
      <c r="B18" s="16" t="s">
        <v>142</v>
      </c>
      <c r="C18" s="16" t="s">
        <v>204</v>
      </c>
      <c r="D18" s="17" t="s">
        <v>437</v>
      </c>
      <c r="E18" s="17" t="s">
        <v>438</v>
      </c>
      <c r="F18" s="17" t="s">
        <v>437</v>
      </c>
      <c r="G18" s="17" t="s">
        <v>427</v>
      </c>
      <c r="H18" s="17" t="s">
        <v>193</v>
      </c>
    </row>
    <row r="19" customFormat="false" ht="15" hidden="false" customHeight="false" outlineLevel="0" collapsed="false">
      <c r="A19" s="18" t="s">
        <v>165</v>
      </c>
      <c r="B19" s="18" t="s">
        <v>142</v>
      </c>
      <c r="C19" s="18" t="s">
        <v>208</v>
      </c>
      <c r="D19" s="11" t="s">
        <v>439</v>
      </c>
      <c r="E19" s="11" t="s">
        <v>440</v>
      </c>
      <c r="F19" s="11" t="s">
        <v>439</v>
      </c>
      <c r="G19" s="11" t="s">
        <v>427</v>
      </c>
      <c r="H19" s="18" t="s">
        <v>210</v>
      </c>
    </row>
    <row r="20" customFormat="false" ht="15" hidden="false" customHeight="false" outlineLevel="0" collapsed="false">
      <c r="A20" s="16" t="s">
        <v>165</v>
      </c>
      <c r="B20" s="16" t="s">
        <v>142</v>
      </c>
      <c r="C20" s="16" t="s">
        <v>213</v>
      </c>
      <c r="D20" s="17" t="s">
        <v>441</v>
      </c>
      <c r="E20" s="17" t="s">
        <v>437</v>
      </c>
      <c r="F20" s="17" t="s">
        <v>441</v>
      </c>
      <c r="G20" s="17" t="s">
        <v>427</v>
      </c>
      <c r="H20" s="16" t="s">
        <v>210</v>
      </c>
    </row>
    <row r="21" customFormat="false" ht="15" hidden="false" customHeight="false" outlineLevel="0" collapsed="false">
      <c r="A21" s="18" t="s">
        <v>165</v>
      </c>
      <c r="B21" s="18" t="s">
        <v>142</v>
      </c>
      <c r="C21" s="18" t="s">
        <v>216</v>
      </c>
      <c r="D21" s="11" t="s">
        <v>442</v>
      </c>
      <c r="E21" s="11" t="s">
        <v>427</v>
      </c>
      <c r="F21" s="11" t="s">
        <v>427</v>
      </c>
      <c r="G21" s="11" t="s">
        <v>427</v>
      </c>
      <c r="H21" s="11"/>
    </row>
    <row r="22" customFormat="false" ht="15" hidden="false" customHeight="false" outlineLevel="0" collapsed="false">
      <c r="A22" s="16" t="s">
        <v>165</v>
      </c>
      <c r="B22" s="16" t="s">
        <v>142</v>
      </c>
      <c r="C22" s="16" t="s">
        <v>220</v>
      </c>
      <c r="D22" s="17" t="s">
        <v>425</v>
      </c>
      <c r="E22" s="17" t="s">
        <v>427</v>
      </c>
      <c r="F22" s="17" t="s">
        <v>427</v>
      </c>
      <c r="G22" s="17" t="s">
        <v>427</v>
      </c>
      <c r="H22" s="17" t="s">
        <v>221</v>
      </c>
    </row>
    <row r="23" customFormat="false" ht="15" hidden="false" customHeight="false" outlineLevel="0" collapsed="false">
      <c r="A23" s="18" t="s">
        <v>165</v>
      </c>
      <c r="B23" s="18" t="s">
        <v>142</v>
      </c>
      <c r="C23" s="18" t="s">
        <v>224</v>
      </c>
      <c r="D23" s="11" t="s">
        <v>441</v>
      </c>
      <c r="E23" s="11" t="s">
        <v>441</v>
      </c>
      <c r="F23" s="11" t="s">
        <v>441</v>
      </c>
      <c r="G23" s="11" t="s">
        <v>427</v>
      </c>
      <c r="H23" s="11"/>
    </row>
    <row r="24" customFormat="false" ht="15" hidden="false" customHeight="false" outlineLevel="0" collapsed="false">
      <c r="A24" s="16" t="s">
        <v>165</v>
      </c>
      <c r="B24" s="16" t="s">
        <v>142</v>
      </c>
      <c r="C24" s="16" t="s">
        <v>228</v>
      </c>
      <c r="D24" s="17" t="s">
        <v>443</v>
      </c>
      <c r="E24" s="17" t="s">
        <v>444</v>
      </c>
      <c r="F24" s="17" t="s">
        <v>443</v>
      </c>
      <c r="G24" s="17" t="s">
        <v>427</v>
      </c>
      <c r="H24" s="17" t="s">
        <v>230</v>
      </c>
    </row>
    <row r="25" customFormat="false" ht="15" hidden="false" customHeight="false" outlineLevel="0" collapsed="false">
      <c r="A25" s="18" t="s">
        <v>165</v>
      </c>
      <c r="B25" s="18" t="s">
        <v>142</v>
      </c>
      <c r="C25" s="18" t="s">
        <v>233</v>
      </c>
      <c r="D25" s="11" t="s">
        <v>445</v>
      </c>
      <c r="E25" s="11" t="s">
        <v>446</v>
      </c>
      <c r="F25" s="11" t="s">
        <v>445</v>
      </c>
      <c r="G25" s="11" t="s">
        <v>427</v>
      </c>
      <c r="H25" s="11" t="s">
        <v>230</v>
      </c>
    </row>
    <row r="26" customFormat="false" ht="15" hidden="false" customHeight="false" outlineLevel="0" collapsed="false">
      <c r="A26" s="16" t="s">
        <v>165</v>
      </c>
      <c r="B26" s="16" t="s">
        <v>142</v>
      </c>
      <c r="C26" s="16" t="s">
        <v>237</v>
      </c>
      <c r="D26" s="17" t="s">
        <v>447</v>
      </c>
      <c r="E26" s="17" t="s">
        <v>427</v>
      </c>
      <c r="F26" s="17" t="s">
        <v>427</v>
      </c>
      <c r="G26" s="17" t="s">
        <v>427</v>
      </c>
      <c r="H26" s="17" t="s">
        <v>239</v>
      </c>
    </row>
    <row r="27" customFormat="false" ht="15" hidden="false" customHeight="false" outlineLevel="0" collapsed="false">
      <c r="A27" s="18" t="s">
        <v>165</v>
      </c>
      <c r="B27" s="18" t="s">
        <v>242</v>
      </c>
      <c r="C27" s="18" t="s">
        <v>243</v>
      </c>
      <c r="D27" s="11" t="s">
        <v>448</v>
      </c>
      <c r="E27" s="11" t="s">
        <v>448</v>
      </c>
      <c r="F27" s="11" t="s">
        <v>427</v>
      </c>
      <c r="G27" s="11" t="s">
        <v>427</v>
      </c>
      <c r="H27" s="18" t="s">
        <v>245</v>
      </c>
    </row>
    <row r="28" customFormat="false" ht="15" hidden="false" customHeight="false" outlineLevel="0" collapsed="false">
      <c r="A28" s="16" t="s">
        <v>165</v>
      </c>
      <c r="B28" s="16" t="s">
        <v>242</v>
      </c>
      <c r="C28" s="16" t="s">
        <v>248</v>
      </c>
      <c r="D28" s="17" t="s">
        <v>448</v>
      </c>
      <c r="E28" s="17" t="s">
        <v>448</v>
      </c>
      <c r="F28" s="17" t="s">
        <v>448</v>
      </c>
      <c r="G28" s="17" t="s">
        <v>427</v>
      </c>
      <c r="H28" s="16" t="s">
        <v>245</v>
      </c>
    </row>
    <row r="29" customFormat="false" ht="15" hidden="false" customHeight="false" outlineLevel="0" collapsed="false">
      <c r="A29" s="18" t="s">
        <v>165</v>
      </c>
      <c r="B29" s="18" t="s">
        <v>242</v>
      </c>
      <c r="C29" s="18" t="s">
        <v>251</v>
      </c>
      <c r="D29" s="11" t="s">
        <v>448</v>
      </c>
      <c r="E29" s="11" t="s">
        <v>448</v>
      </c>
      <c r="F29" s="11" t="s">
        <v>448</v>
      </c>
      <c r="G29" s="11" t="s">
        <v>427</v>
      </c>
      <c r="H29" s="18" t="s">
        <v>245</v>
      </c>
    </row>
    <row r="30" customFormat="false" ht="15" hidden="false" customHeight="false" outlineLevel="0" collapsed="false">
      <c r="A30" s="16" t="s">
        <v>165</v>
      </c>
      <c r="B30" s="16" t="s">
        <v>242</v>
      </c>
      <c r="C30" s="16" t="s">
        <v>254</v>
      </c>
      <c r="D30" s="17" t="s">
        <v>449</v>
      </c>
      <c r="E30" s="17" t="s">
        <v>449</v>
      </c>
      <c r="F30" s="17" t="s">
        <v>449</v>
      </c>
      <c r="G30" s="17" t="s">
        <v>427</v>
      </c>
      <c r="H30" s="16" t="s">
        <v>245</v>
      </c>
    </row>
    <row r="31" customFormat="false" ht="15" hidden="false" customHeight="false" outlineLevel="0" collapsed="false">
      <c r="A31" s="18" t="s">
        <v>165</v>
      </c>
      <c r="B31" s="18" t="s">
        <v>242</v>
      </c>
      <c r="C31" s="18" t="s">
        <v>258</v>
      </c>
      <c r="D31" s="11" t="s">
        <v>449</v>
      </c>
      <c r="E31" s="11" t="s">
        <v>449</v>
      </c>
      <c r="F31" s="11" t="s">
        <v>449</v>
      </c>
      <c r="G31" s="11" t="s">
        <v>427</v>
      </c>
      <c r="H31" s="18" t="s">
        <v>245</v>
      </c>
    </row>
    <row r="32" customFormat="false" ht="15" hidden="false" customHeight="false" outlineLevel="0" collapsed="false">
      <c r="A32" s="16" t="s">
        <v>165</v>
      </c>
      <c r="B32" s="16" t="s">
        <v>261</v>
      </c>
      <c r="C32" s="16" t="s">
        <v>262</v>
      </c>
      <c r="D32" s="17" t="s">
        <v>427</v>
      </c>
      <c r="E32" s="17" t="s">
        <v>427</v>
      </c>
      <c r="F32" s="17" t="s">
        <v>427</v>
      </c>
      <c r="G32" s="17" t="s">
        <v>450</v>
      </c>
      <c r="H32" s="17" t="s">
        <v>264</v>
      </c>
    </row>
    <row r="33" customFormat="false" ht="15" hidden="false" customHeight="false" outlineLevel="0" collapsed="false">
      <c r="A33" s="18" t="s">
        <v>165</v>
      </c>
      <c r="B33" s="18" t="s">
        <v>261</v>
      </c>
      <c r="C33" s="18" t="s">
        <v>267</v>
      </c>
      <c r="D33" s="11" t="s">
        <v>427</v>
      </c>
      <c r="E33" s="11" t="s">
        <v>427</v>
      </c>
      <c r="F33" s="11" t="s">
        <v>427</v>
      </c>
      <c r="G33" s="11" t="s">
        <v>435</v>
      </c>
      <c r="H33" s="11" t="s">
        <v>264</v>
      </c>
    </row>
    <row r="34" customFormat="false" ht="15" hidden="false" customHeight="false" outlineLevel="0" collapsed="false">
      <c r="A34" s="16" t="s">
        <v>165</v>
      </c>
      <c r="B34" s="16" t="s">
        <v>261</v>
      </c>
      <c r="C34" s="16" t="s">
        <v>271</v>
      </c>
      <c r="D34" s="17" t="s">
        <v>427</v>
      </c>
      <c r="E34" s="17" t="s">
        <v>427</v>
      </c>
      <c r="F34" s="17" t="s">
        <v>427</v>
      </c>
      <c r="G34" s="17" t="s">
        <v>435</v>
      </c>
      <c r="H34" s="17" t="s">
        <v>264</v>
      </c>
    </row>
    <row r="35" customFormat="false" ht="15" hidden="false" customHeight="false" outlineLevel="0" collapsed="false">
      <c r="A35" s="18" t="s">
        <v>165</v>
      </c>
      <c r="B35" s="18" t="s">
        <v>261</v>
      </c>
      <c r="C35" s="18" t="s">
        <v>274</v>
      </c>
      <c r="D35" s="11" t="s">
        <v>427</v>
      </c>
      <c r="E35" s="11" t="s">
        <v>427</v>
      </c>
      <c r="F35" s="11" t="s">
        <v>427</v>
      </c>
      <c r="G35" s="11" t="s">
        <v>451</v>
      </c>
      <c r="H35" s="18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20.1" hidden="false" customHeight="false" outlineLevel="0" collapsed="false">
      <c r="A1" s="8" t="s">
        <v>452</v>
      </c>
    </row>
    <row r="3" customFormat="false" ht="15" hidden="false" customHeight="false" outlineLevel="0" collapsed="false">
      <c r="A3" s="15" t="s">
        <v>5</v>
      </c>
      <c r="B3" s="15" t="s">
        <v>453</v>
      </c>
      <c r="C3" s="15" t="s">
        <v>454</v>
      </c>
      <c r="D3" s="15" t="s">
        <v>455</v>
      </c>
      <c r="E3" s="15" t="s">
        <v>456</v>
      </c>
      <c r="F3" s="15" t="s">
        <v>457</v>
      </c>
      <c r="G3" s="15" t="s">
        <v>10</v>
      </c>
    </row>
    <row r="4" customFormat="false" ht="15" hidden="false" customHeight="false" outlineLevel="0" collapsed="false">
      <c r="A4" s="16" t="s">
        <v>281</v>
      </c>
      <c r="B4" s="17" t="n">
        <v>9</v>
      </c>
      <c r="C4" s="17" t="n">
        <v>27</v>
      </c>
      <c r="D4" s="17" t="n">
        <v>54</v>
      </c>
      <c r="E4" s="17" t="n">
        <v>0.9</v>
      </c>
      <c r="F4" s="17" t="n">
        <v>1.8</v>
      </c>
      <c r="G4" s="16" t="s">
        <v>285</v>
      </c>
    </row>
    <row r="5" customFormat="false" ht="15" hidden="false" customHeight="false" outlineLevel="0" collapsed="false">
      <c r="A5" s="18" t="s">
        <v>288</v>
      </c>
      <c r="B5" s="11" t="n">
        <v>35</v>
      </c>
      <c r="C5" s="11" t="n">
        <v>105</v>
      </c>
      <c r="D5" s="11" t="n">
        <v>210</v>
      </c>
      <c r="E5" s="11" t="n">
        <v>3.5</v>
      </c>
      <c r="F5" s="11" t="n">
        <v>7</v>
      </c>
      <c r="G5" s="18" t="s">
        <v>285</v>
      </c>
    </row>
    <row r="6" customFormat="false" ht="15" hidden="false" customHeight="false" outlineLevel="0" collapsed="false">
      <c r="A6" s="16" t="s">
        <v>292</v>
      </c>
      <c r="B6" s="17" t="n">
        <v>5</v>
      </c>
      <c r="C6" s="17" t="n">
        <v>15</v>
      </c>
      <c r="D6" s="17" t="n">
        <v>30</v>
      </c>
      <c r="E6" s="17" t="n">
        <v>0.5</v>
      </c>
      <c r="F6" s="17" t="n">
        <v>1</v>
      </c>
      <c r="G6" s="16" t="s">
        <v>285</v>
      </c>
    </row>
    <row r="7" customFormat="false" ht="15" hidden="false" customHeight="false" outlineLevel="0" collapsed="false">
      <c r="A7" s="18" t="s">
        <v>296</v>
      </c>
      <c r="B7" s="11" t="n">
        <v>5</v>
      </c>
      <c r="C7" s="11" t="n">
        <v>15</v>
      </c>
      <c r="D7" s="11" t="n">
        <v>30</v>
      </c>
      <c r="E7" s="11" t="n">
        <v>0.5</v>
      </c>
      <c r="F7" s="11" t="n">
        <v>1</v>
      </c>
      <c r="G7" s="18" t="s">
        <v>285</v>
      </c>
    </row>
    <row r="8" customFormat="false" ht="15" hidden="false" customHeight="false" outlineLevel="0" collapsed="false">
      <c r="A8" s="16" t="s">
        <v>299</v>
      </c>
      <c r="B8" s="17" t="n">
        <v>10</v>
      </c>
      <c r="C8" s="17" t="n">
        <v>30</v>
      </c>
      <c r="D8" s="17" t="n">
        <v>60</v>
      </c>
      <c r="E8" s="17" t="n">
        <v>1</v>
      </c>
      <c r="F8" s="17" t="n">
        <v>2</v>
      </c>
      <c r="G8" s="16" t="s">
        <v>285</v>
      </c>
    </row>
    <row r="9" customFormat="false" ht="15" hidden="false" customHeight="false" outlineLevel="0" collapsed="false">
      <c r="A9" s="18" t="s">
        <v>303</v>
      </c>
      <c r="B9" s="11" t="n">
        <v>1</v>
      </c>
      <c r="C9" s="11" t="n">
        <v>3</v>
      </c>
      <c r="D9" s="11" t="n">
        <v>6</v>
      </c>
      <c r="E9" s="11" t="n">
        <v>0.1</v>
      </c>
      <c r="F9" s="11" t="n">
        <v>0.2</v>
      </c>
      <c r="G9" s="18" t="s">
        <v>285</v>
      </c>
    </row>
    <row r="10" customFormat="false" ht="15" hidden="false" customHeight="false" outlineLevel="0" collapsed="false">
      <c r="A10" s="16" t="s">
        <v>307</v>
      </c>
      <c r="B10" s="17" t="n">
        <v>6</v>
      </c>
      <c r="C10" s="17" t="n">
        <v>18</v>
      </c>
      <c r="D10" s="17" t="n">
        <v>36</v>
      </c>
      <c r="E10" s="17" t="n">
        <v>0.6</v>
      </c>
      <c r="F10" s="17" t="n">
        <v>1.2</v>
      </c>
      <c r="G10" s="16" t="s">
        <v>285</v>
      </c>
    </row>
    <row r="11" customFormat="false" ht="15" hidden="false" customHeight="false" outlineLevel="0" collapsed="false">
      <c r="A11" s="18" t="s">
        <v>311</v>
      </c>
      <c r="B11" s="11" t="n">
        <v>6</v>
      </c>
      <c r="C11" s="11" t="n">
        <v>18</v>
      </c>
      <c r="D11" s="11" t="n">
        <v>36</v>
      </c>
      <c r="E11" s="11" t="n">
        <v>0.6</v>
      </c>
      <c r="F11" s="11" t="n">
        <v>1.2</v>
      </c>
      <c r="G11" s="18" t="s">
        <v>285</v>
      </c>
    </row>
    <row r="12" customFormat="false" ht="15" hidden="false" customHeight="false" outlineLevel="0" collapsed="false">
      <c r="A12" s="16" t="s">
        <v>150</v>
      </c>
      <c r="B12" s="17" t="n">
        <v>6</v>
      </c>
      <c r="C12" s="17" t="n">
        <v>18</v>
      </c>
      <c r="D12" s="17" t="n">
        <v>36</v>
      </c>
      <c r="E12" s="17" t="n">
        <v>0.6</v>
      </c>
      <c r="F12" s="17" t="n">
        <v>1.2</v>
      </c>
      <c r="G12" s="16" t="s">
        <v>285</v>
      </c>
    </row>
    <row r="13" customFormat="false" ht="15" hidden="false" customHeight="false" outlineLevel="0" collapsed="false">
      <c r="A13" s="18" t="s">
        <v>316</v>
      </c>
      <c r="B13" s="11" t="n">
        <v>80</v>
      </c>
      <c r="C13" s="11" t="n">
        <v>240</v>
      </c>
      <c r="D13" s="11" t="n">
        <v>480</v>
      </c>
      <c r="E13" s="11" t="n">
        <v>8</v>
      </c>
      <c r="F13" s="11" t="n">
        <v>16</v>
      </c>
      <c r="G13" s="18" t="s">
        <v>285</v>
      </c>
    </row>
    <row r="14" customFormat="false" ht="15" hidden="false" customHeight="false" outlineLevel="0" collapsed="false">
      <c r="A14" s="16" t="s">
        <v>320</v>
      </c>
      <c r="B14" s="17" t="n">
        <v>20</v>
      </c>
      <c r="C14" s="17" t="n">
        <v>60</v>
      </c>
      <c r="D14" s="17" t="n">
        <v>120</v>
      </c>
      <c r="E14" s="17" t="n">
        <v>2</v>
      </c>
      <c r="F14" s="17" t="n">
        <v>4</v>
      </c>
      <c r="G14" s="16" t="s">
        <v>285</v>
      </c>
    </row>
    <row r="15" customFormat="false" ht="15" hidden="false" customHeight="false" outlineLevel="0" collapsed="false">
      <c r="A15" s="18" t="s">
        <v>324</v>
      </c>
      <c r="B15" s="11" t="n">
        <v>25</v>
      </c>
      <c r="C15" s="11" t="n">
        <v>75</v>
      </c>
      <c r="D15" s="11" t="n">
        <v>150</v>
      </c>
      <c r="E15" s="11" t="n">
        <v>2.5</v>
      </c>
      <c r="F15" s="11" t="n">
        <v>5</v>
      </c>
      <c r="G15" s="18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2026-04-01T07:21:32Z</dcterms:created>
  <dc:creator>openpyxl</dc:creator>
  <dc:description/>
  <dc:language>en-US</dc:language>
  <cp:lastModifiedBy/>
  <dcterms:modified xsi:type="dcterms:W3CDTF">2026-04-01T07:21:33Z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